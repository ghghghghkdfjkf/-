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blg\Desktop\"/>
    </mc:Choice>
  </mc:AlternateContent>
  <bookViews>
    <workbookView xWindow="0" yWindow="0" windowWidth="28800" windowHeight="12180" activeTab="2"/>
  </bookViews>
  <sheets>
    <sheet name="Данные" sheetId="1" r:id="rId1"/>
    <sheet name="ABC Менеджеры" sheetId="2" r:id="rId2"/>
    <sheet name="ABC_XYZ Клиенты" sheetId="3" r:id="rId3"/>
  </sheets>
  <calcPr calcId="162913" forceFullCalc="1"/>
</workbook>
</file>

<file path=xl/calcChain.xml><?xml version="1.0" encoding="utf-8"?>
<calcChain xmlns="http://schemas.openxmlformats.org/spreadsheetml/2006/main">
  <c r="N198" i="3" l="1"/>
  <c r="M198" i="3"/>
  <c r="L198" i="3"/>
  <c r="K198" i="3"/>
  <c r="J198" i="3"/>
  <c r="I198" i="3"/>
  <c r="H198" i="3"/>
  <c r="G198" i="3"/>
  <c r="F198" i="3"/>
  <c r="E198" i="3"/>
  <c r="D198" i="3"/>
  <c r="C198" i="3"/>
  <c r="B198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Q191" i="3" s="1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P183" i="3" s="1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N180" i="3"/>
  <c r="M180" i="3"/>
  <c r="L180" i="3"/>
  <c r="K180" i="3"/>
  <c r="J180" i="3"/>
  <c r="I180" i="3"/>
  <c r="Q180" i="3" s="1"/>
  <c r="H180" i="3"/>
  <c r="G180" i="3"/>
  <c r="F180" i="3"/>
  <c r="E180" i="3"/>
  <c r="D180" i="3"/>
  <c r="C180" i="3"/>
  <c r="B180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P175" i="3" s="1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N172" i="3"/>
  <c r="M172" i="3"/>
  <c r="L172" i="3"/>
  <c r="K172" i="3"/>
  <c r="J172" i="3"/>
  <c r="I172" i="3"/>
  <c r="Q172" i="3" s="1"/>
  <c r="H172" i="3"/>
  <c r="G172" i="3"/>
  <c r="F172" i="3"/>
  <c r="E172" i="3"/>
  <c r="D172" i="3"/>
  <c r="C172" i="3"/>
  <c r="B172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P167" i="3" s="1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Q127" i="3" s="1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3" i="3"/>
  <c r="M3" i="3"/>
  <c r="L3" i="3"/>
  <c r="K3" i="3"/>
  <c r="J3" i="3"/>
  <c r="I3" i="3"/>
  <c r="H3" i="3"/>
  <c r="G3" i="3"/>
  <c r="F3" i="3"/>
  <c r="E3" i="3"/>
  <c r="D3" i="3"/>
  <c r="C3" i="3"/>
  <c r="B3" i="3"/>
  <c r="N2" i="3"/>
  <c r="M2" i="3"/>
  <c r="L2" i="3"/>
  <c r="K2" i="3"/>
  <c r="J2" i="3"/>
  <c r="I2" i="3"/>
  <c r="H2" i="3"/>
  <c r="G2" i="3"/>
  <c r="F2" i="3"/>
  <c r="E2" i="3"/>
  <c r="D2" i="3"/>
  <c r="C2" i="3"/>
  <c r="B2" i="3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Q164" i="3" l="1"/>
  <c r="Q9" i="3"/>
  <c r="P15" i="3"/>
  <c r="Q17" i="3"/>
  <c r="P129" i="3"/>
  <c r="Q137" i="3"/>
  <c r="Q145" i="3"/>
  <c r="Q153" i="3"/>
  <c r="Q161" i="3"/>
  <c r="D8" i="2"/>
  <c r="Q30" i="3"/>
  <c r="Q38" i="3"/>
  <c r="P46" i="3"/>
  <c r="Q52" i="3"/>
  <c r="P54" i="3"/>
  <c r="P62" i="3"/>
  <c r="P70" i="3"/>
  <c r="Q97" i="3"/>
  <c r="P102" i="3"/>
  <c r="Q105" i="3"/>
  <c r="P110" i="3"/>
  <c r="Q115" i="3"/>
  <c r="Q126" i="3"/>
  <c r="C18" i="2"/>
  <c r="Q14" i="3"/>
  <c r="C10" i="2"/>
  <c r="D10" i="2"/>
  <c r="D14" i="2"/>
  <c r="D18" i="2"/>
  <c r="Q3" i="3"/>
  <c r="Q11" i="3"/>
  <c r="P17" i="3"/>
  <c r="P19" i="3"/>
  <c r="Q27" i="3"/>
  <c r="Q35" i="3"/>
  <c r="Q43" i="3"/>
  <c r="Q94" i="3"/>
  <c r="P99" i="3"/>
  <c r="Q102" i="3"/>
  <c r="P107" i="3"/>
  <c r="Q110" i="3"/>
  <c r="P115" i="3"/>
  <c r="Q118" i="3"/>
  <c r="Q123" i="3"/>
  <c r="Q159" i="3"/>
  <c r="Q169" i="3"/>
  <c r="P172" i="3"/>
  <c r="Q177" i="3"/>
  <c r="P180" i="3"/>
  <c r="Q188" i="3"/>
  <c r="Q196" i="3"/>
  <c r="Q8" i="3"/>
  <c r="P14" i="3"/>
  <c r="Q16" i="3"/>
  <c r="Q25" i="3"/>
  <c r="Q32" i="3"/>
  <c r="Q40" i="3"/>
  <c r="Q51" i="3"/>
  <c r="Q64" i="3"/>
  <c r="Q72" i="3"/>
  <c r="Q99" i="3"/>
  <c r="P104" i="3"/>
  <c r="Q107" i="3"/>
  <c r="P112" i="3"/>
  <c r="Q131" i="3"/>
  <c r="P139" i="3"/>
  <c r="P147" i="3"/>
  <c r="P155" i="3"/>
  <c r="Q163" i="3"/>
  <c r="Q166" i="3"/>
  <c r="P169" i="3"/>
  <c r="Q174" i="3"/>
  <c r="P177" i="3"/>
  <c r="Q182" i="3"/>
  <c r="Q185" i="3"/>
  <c r="Q193" i="3"/>
  <c r="C14" i="2"/>
  <c r="Q22" i="3"/>
  <c r="P24" i="3"/>
  <c r="Q5" i="3"/>
  <c r="P8" i="3"/>
  <c r="P11" i="3"/>
  <c r="Q13" i="3"/>
  <c r="Q21" i="3"/>
  <c r="Q24" i="3"/>
  <c r="Q29" i="3"/>
  <c r="Q37" i="3"/>
  <c r="Q61" i="3"/>
  <c r="Q69" i="3"/>
  <c r="Q88" i="3"/>
  <c r="Q96" i="3"/>
  <c r="P101" i="3"/>
  <c r="Q104" i="3"/>
  <c r="P109" i="3"/>
  <c r="Q112" i="3"/>
  <c r="Q114" i="3"/>
  <c r="P117" i="3"/>
  <c r="Q125" i="3"/>
  <c r="Q136" i="3"/>
  <c r="Q144" i="3"/>
  <c r="Q152" i="3"/>
  <c r="P163" i="3"/>
  <c r="Q171" i="3"/>
  <c r="P174" i="3"/>
  <c r="Q179" i="3"/>
  <c r="P182" i="3"/>
  <c r="Q190" i="3"/>
  <c r="Q198" i="3"/>
  <c r="Q6" i="3"/>
  <c r="P9" i="3"/>
  <c r="P12" i="3"/>
  <c r="C8" i="2"/>
  <c r="C12" i="2"/>
  <c r="C16" i="2"/>
  <c r="Q2" i="3"/>
  <c r="Q10" i="3"/>
  <c r="P16" i="3"/>
  <c r="P18" i="3"/>
  <c r="Q26" i="3"/>
  <c r="Q34" i="3"/>
  <c r="Q42" i="3"/>
  <c r="Q48" i="3"/>
  <c r="P50" i="3"/>
  <c r="Q56" i="3"/>
  <c r="P58" i="3"/>
  <c r="P66" i="3"/>
  <c r="P74" i="3"/>
  <c r="Q93" i="3"/>
  <c r="P98" i="3"/>
  <c r="Q101" i="3"/>
  <c r="P106" i="3"/>
  <c r="Q109" i="3"/>
  <c r="P114" i="3"/>
  <c r="Q122" i="3"/>
  <c r="Q133" i="3"/>
  <c r="Q141" i="3"/>
  <c r="Q149" i="3"/>
  <c r="Q157" i="3"/>
  <c r="Q168" i="3"/>
  <c r="P171" i="3"/>
  <c r="Q176" i="3"/>
  <c r="P179" i="3"/>
  <c r="Q187" i="3"/>
  <c r="Q195" i="3"/>
  <c r="D12" i="2"/>
  <c r="Q7" i="3"/>
  <c r="P10" i="3"/>
  <c r="P13" i="3"/>
  <c r="Q15" i="3"/>
  <c r="Q19" i="3"/>
  <c r="Q23" i="3"/>
  <c r="Q31" i="3"/>
  <c r="Q39" i="3"/>
  <c r="Q47" i="3"/>
  <c r="Q55" i="3"/>
  <c r="Q98" i="3"/>
  <c r="P103" i="3"/>
  <c r="Q106" i="3"/>
  <c r="P111" i="3"/>
  <c r="Q130" i="3"/>
  <c r="Q160" i="3"/>
  <c r="Q162" i="3"/>
  <c r="Q165" i="3"/>
  <c r="P168" i="3"/>
  <c r="Q173" i="3"/>
  <c r="P176" i="3"/>
  <c r="Q181" i="3"/>
  <c r="Q184" i="3"/>
  <c r="Q192" i="3"/>
  <c r="Q4" i="3"/>
  <c r="Q12" i="3"/>
  <c r="Q20" i="3"/>
  <c r="Q28" i="3"/>
  <c r="Q36" i="3"/>
  <c r="P44" i="3"/>
  <c r="Q60" i="3"/>
  <c r="Q68" i="3"/>
  <c r="Q87" i="3"/>
  <c r="P92" i="3"/>
  <c r="Q95" i="3"/>
  <c r="P100" i="3"/>
  <c r="Q103" i="3"/>
  <c r="P108" i="3"/>
  <c r="Q111" i="3"/>
  <c r="Q113" i="3"/>
  <c r="Q116" i="3"/>
  <c r="Q124" i="3"/>
  <c r="P135" i="3"/>
  <c r="P143" i="3"/>
  <c r="P151" i="3"/>
  <c r="P159" i="3"/>
  <c r="Q170" i="3"/>
  <c r="P173" i="3"/>
  <c r="Q178" i="3"/>
  <c r="P181" i="3"/>
  <c r="Q189" i="3"/>
  <c r="Q197" i="3"/>
  <c r="D16" i="2"/>
  <c r="Q33" i="3"/>
  <c r="Q41" i="3"/>
  <c r="Q44" i="3"/>
  <c r="Q49" i="3"/>
  <c r="Q57" i="3"/>
  <c r="Q65" i="3"/>
  <c r="Q73" i="3"/>
  <c r="P89" i="3"/>
  <c r="Q92" i="3"/>
  <c r="P97" i="3"/>
  <c r="Q100" i="3"/>
  <c r="P105" i="3"/>
  <c r="Q108" i="3"/>
  <c r="P113" i="3"/>
  <c r="Q119" i="3"/>
  <c r="Q132" i="3"/>
  <c r="Q140" i="3"/>
  <c r="Q148" i="3"/>
  <c r="Q156" i="3"/>
  <c r="Q167" i="3"/>
  <c r="P170" i="3"/>
  <c r="Q175" i="3"/>
  <c r="P178" i="3"/>
  <c r="Q183" i="3"/>
  <c r="Q186" i="3"/>
  <c r="Q194" i="3"/>
  <c r="Q18" i="3"/>
  <c r="P45" i="3"/>
  <c r="P53" i="3"/>
  <c r="Q58" i="3"/>
  <c r="Q62" i="3"/>
  <c r="Q66" i="3"/>
  <c r="Q70" i="3"/>
  <c r="Q74" i="3"/>
  <c r="Q78" i="3"/>
  <c r="P78" i="3"/>
  <c r="Q86" i="3"/>
  <c r="Q89" i="3"/>
  <c r="P94" i="3"/>
  <c r="Q50" i="3"/>
  <c r="P52" i="3"/>
  <c r="P59" i="3"/>
  <c r="P63" i="3"/>
  <c r="P67" i="3"/>
  <c r="P71" i="3"/>
  <c r="Q75" i="3"/>
  <c r="P75" i="3"/>
  <c r="Q83" i="3"/>
  <c r="P91" i="3"/>
  <c r="P51" i="3"/>
  <c r="Q80" i="3"/>
  <c r="P80" i="3"/>
  <c r="P88" i="3"/>
  <c r="Q91" i="3"/>
  <c r="P96" i="3"/>
  <c r="C11" i="2"/>
  <c r="C15" i="2"/>
  <c r="C19" i="2"/>
  <c r="D13" i="2"/>
  <c r="P25" i="3"/>
  <c r="Q77" i="3"/>
  <c r="P77" i="3"/>
  <c r="Q85" i="3"/>
  <c r="P93" i="3"/>
  <c r="C9" i="2"/>
  <c r="C13" i="2"/>
  <c r="C17" i="2"/>
  <c r="D9" i="2"/>
  <c r="D11" i="2"/>
  <c r="D15" i="2"/>
  <c r="D17" i="2"/>
  <c r="D19" i="2"/>
  <c r="P2" i="3"/>
  <c r="P4" i="3"/>
  <c r="P6" i="3"/>
  <c r="P49" i="3"/>
  <c r="P57" i="3"/>
  <c r="Q82" i="3"/>
  <c r="P90" i="3"/>
  <c r="P3" i="3"/>
  <c r="P5" i="3"/>
  <c r="P7" i="3"/>
  <c r="P20" i="3"/>
  <c r="P21" i="3"/>
  <c r="P22" i="3"/>
  <c r="P23" i="3"/>
  <c r="Q46" i="3"/>
  <c r="P48" i="3"/>
  <c r="Q54" i="3"/>
  <c r="P56" i="3"/>
  <c r="P61" i="3"/>
  <c r="P65" i="3"/>
  <c r="P69" i="3"/>
  <c r="P73" i="3"/>
  <c r="Q79" i="3"/>
  <c r="P79" i="3"/>
  <c r="P87" i="3"/>
  <c r="Q90" i="3"/>
  <c r="P9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Q45" i="3"/>
  <c r="P47" i="3"/>
  <c r="Q53" i="3"/>
  <c r="P55" i="3"/>
  <c r="Q59" i="3"/>
  <c r="Q63" i="3"/>
  <c r="Q67" i="3"/>
  <c r="Q71" i="3"/>
  <c r="Q76" i="3"/>
  <c r="P76" i="3"/>
  <c r="Q84" i="3"/>
  <c r="P60" i="3"/>
  <c r="P64" i="3"/>
  <c r="P68" i="3"/>
  <c r="P72" i="3"/>
  <c r="Q81" i="3"/>
  <c r="P121" i="3"/>
  <c r="P120" i="3"/>
  <c r="P128" i="3"/>
  <c r="Q117" i="3"/>
  <c r="P119" i="3"/>
  <c r="P127" i="3"/>
  <c r="P134" i="3"/>
  <c r="P138" i="3"/>
  <c r="P142" i="3"/>
  <c r="P146" i="3"/>
  <c r="P150" i="3"/>
  <c r="P154" i="3"/>
  <c r="P158" i="3"/>
  <c r="P162" i="3"/>
  <c r="P166" i="3"/>
  <c r="P81" i="3"/>
  <c r="P82" i="3"/>
  <c r="P83" i="3"/>
  <c r="P84" i="3"/>
  <c r="P85" i="3"/>
  <c r="P86" i="3"/>
  <c r="P118" i="3"/>
  <c r="P126" i="3"/>
  <c r="P125" i="3"/>
  <c r="P133" i="3"/>
  <c r="P137" i="3"/>
  <c r="P141" i="3"/>
  <c r="P145" i="3"/>
  <c r="P149" i="3"/>
  <c r="P153" i="3"/>
  <c r="P157" i="3"/>
  <c r="P161" i="3"/>
  <c r="P165" i="3"/>
  <c r="P116" i="3"/>
  <c r="P124" i="3"/>
  <c r="P132" i="3"/>
  <c r="Q135" i="3"/>
  <c r="Q139" i="3"/>
  <c r="Q143" i="3"/>
  <c r="Q147" i="3"/>
  <c r="Q151" i="3"/>
  <c r="Q155" i="3"/>
  <c r="Q121" i="3"/>
  <c r="P123" i="3"/>
  <c r="Q129" i="3"/>
  <c r="P131" i="3"/>
  <c r="P136" i="3"/>
  <c r="P140" i="3"/>
  <c r="P144" i="3"/>
  <c r="P148" i="3"/>
  <c r="P152" i="3"/>
  <c r="P156" i="3"/>
  <c r="P160" i="3"/>
  <c r="P164" i="3"/>
  <c r="Q120" i="3"/>
  <c r="P122" i="3"/>
  <c r="Q128" i="3"/>
  <c r="P130" i="3"/>
  <c r="Q134" i="3"/>
  <c r="Q138" i="3"/>
  <c r="Q142" i="3"/>
  <c r="Q146" i="3"/>
  <c r="Q150" i="3"/>
  <c r="Q154" i="3"/>
  <c r="Q158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O138" i="3" l="1"/>
  <c r="O134" i="3"/>
  <c r="O121" i="3"/>
  <c r="O155" i="3"/>
  <c r="O95" i="3"/>
  <c r="O158" i="3"/>
  <c r="O151" i="3"/>
  <c r="O34" i="3"/>
  <c r="O154" i="3"/>
  <c r="O147" i="3"/>
  <c r="O150" i="3"/>
  <c r="O143" i="3"/>
  <c r="O122" i="3"/>
  <c r="O146" i="3"/>
  <c r="O139" i="3"/>
  <c r="O38" i="3"/>
  <c r="O142" i="3"/>
  <c r="O135" i="3"/>
  <c r="O89" i="3"/>
  <c r="O156" i="3"/>
  <c r="O196" i="3"/>
  <c r="O33" i="3"/>
  <c r="O103" i="3"/>
  <c r="O63" i="3"/>
  <c r="O130" i="3"/>
  <c r="O109" i="3"/>
  <c r="O88" i="3"/>
  <c r="O86" i="3"/>
  <c r="O41" i="3"/>
  <c r="O4" i="3"/>
  <c r="O7" i="3"/>
  <c r="O133" i="3"/>
  <c r="O141" i="3"/>
  <c r="O149" i="3"/>
  <c r="O157" i="3"/>
  <c r="O165" i="3"/>
  <c r="O173" i="3"/>
  <c r="O181" i="3"/>
  <c r="O189" i="3"/>
  <c r="O197" i="3"/>
  <c r="O21" i="3"/>
  <c r="O25" i="3"/>
  <c r="O52" i="3"/>
  <c r="O81" i="3"/>
  <c r="O58" i="3"/>
  <c r="O148" i="3"/>
  <c r="O188" i="3"/>
  <c r="O32" i="3"/>
  <c r="O59" i="3"/>
  <c r="O106" i="3"/>
  <c r="O101" i="3"/>
  <c r="O85" i="3"/>
  <c r="O131" i="3"/>
  <c r="O80" i="3"/>
  <c r="O83" i="3"/>
  <c r="O50" i="3"/>
  <c r="O17" i="3"/>
  <c r="O55" i="3"/>
  <c r="O56" i="3"/>
  <c r="O166" i="3"/>
  <c r="O174" i="3"/>
  <c r="O182" i="3"/>
  <c r="O190" i="3"/>
  <c r="O198" i="3"/>
  <c r="O13" i="3"/>
  <c r="O16" i="3"/>
  <c r="O46" i="3"/>
  <c r="O2" i="3"/>
  <c r="O180" i="3"/>
  <c r="O24" i="3"/>
  <c r="O128" i="3"/>
  <c r="O132" i="3"/>
  <c r="O87" i="3"/>
  <c r="O98" i="3"/>
  <c r="O93" i="3"/>
  <c r="O125" i="3"/>
  <c r="O127" i="3"/>
  <c r="O126" i="3"/>
  <c r="O78" i="3"/>
  <c r="O18" i="3"/>
  <c r="O68" i="3"/>
  <c r="O47" i="3"/>
  <c r="O48" i="3"/>
  <c r="O159" i="3"/>
  <c r="O167" i="3"/>
  <c r="O175" i="3"/>
  <c r="O183" i="3"/>
  <c r="O191" i="3"/>
  <c r="O5" i="3"/>
  <c r="O8" i="3"/>
  <c r="O43" i="3"/>
  <c r="O30" i="3"/>
  <c r="O44" i="3"/>
  <c r="O172" i="3"/>
  <c r="O84" i="3"/>
  <c r="O53" i="3"/>
  <c r="O114" i="3"/>
  <c r="O77" i="3"/>
  <c r="O107" i="3"/>
  <c r="O123" i="3"/>
  <c r="O75" i="3"/>
  <c r="O115" i="3"/>
  <c r="O74" i="3"/>
  <c r="O73" i="3"/>
  <c r="O60" i="3"/>
  <c r="O39" i="3"/>
  <c r="O42" i="3"/>
  <c r="O136" i="3"/>
  <c r="O144" i="3"/>
  <c r="O152" i="3"/>
  <c r="O160" i="3"/>
  <c r="O168" i="3"/>
  <c r="O176" i="3"/>
  <c r="O184" i="3"/>
  <c r="O192" i="3"/>
  <c r="O69" i="3"/>
  <c r="O72" i="3"/>
  <c r="O35" i="3"/>
  <c r="O22" i="3"/>
  <c r="O67" i="3"/>
  <c r="O12" i="3"/>
  <c r="O164" i="3"/>
  <c r="O124" i="3"/>
  <c r="O90" i="3"/>
  <c r="O82" i="3"/>
  <c r="O112" i="3"/>
  <c r="O99" i="3"/>
  <c r="O118" i="3"/>
  <c r="O105" i="3"/>
  <c r="O70" i="3"/>
  <c r="O65" i="3"/>
  <c r="O36" i="3"/>
  <c r="O31" i="3"/>
  <c r="O137" i="3"/>
  <c r="O145" i="3"/>
  <c r="O153" i="3"/>
  <c r="O161" i="3"/>
  <c r="O169" i="3"/>
  <c r="O177" i="3"/>
  <c r="O185" i="3"/>
  <c r="O193" i="3"/>
  <c r="O61" i="3"/>
  <c r="O64" i="3"/>
  <c r="O27" i="3"/>
  <c r="O14" i="3"/>
  <c r="O79" i="3"/>
  <c r="O15" i="3"/>
  <c r="O120" i="3"/>
  <c r="O129" i="3"/>
  <c r="O100" i="3"/>
  <c r="O116" i="3"/>
  <c r="O76" i="3"/>
  <c r="O45" i="3"/>
  <c r="O54" i="3"/>
  <c r="O104" i="3"/>
  <c r="O110" i="3"/>
  <c r="O97" i="3"/>
  <c r="O66" i="3"/>
  <c r="O57" i="3"/>
  <c r="O28" i="3"/>
  <c r="O23" i="3"/>
  <c r="O26" i="3"/>
  <c r="O162" i="3"/>
  <c r="O170" i="3"/>
  <c r="O178" i="3"/>
  <c r="O186" i="3"/>
  <c r="O194" i="3"/>
  <c r="O37" i="3"/>
  <c r="O51" i="3"/>
  <c r="O11" i="3"/>
  <c r="O6" i="3"/>
  <c r="O111" i="3"/>
  <c r="O94" i="3"/>
  <c r="O140" i="3"/>
  <c r="O119" i="3"/>
  <c r="O108" i="3"/>
  <c r="O117" i="3"/>
  <c r="O92" i="3"/>
  <c r="O113" i="3"/>
  <c r="O71" i="3"/>
  <c r="O96" i="3"/>
  <c r="O91" i="3"/>
  <c r="O102" i="3"/>
  <c r="O62" i="3"/>
  <c r="O49" i="3"/>
  <c r="O20" i="3"/>
  <c r="O19" i="3"/>
  <c r="O10" i="3"/>
  <c r="O163" i="3"/>
  <c r="O171" i="3"/>
  <c r="O179" i="3"/>
  <c r="O187" i="3"/>
  <c r="O195" i="3"/>
  <c r="O29" i="3"/>
  <c r="O40" i="3"/>
  <c r="O3" i="3"/>
  <c r="O9" i="3"/>
  <c r="U211" i="3" l="1"/>
  <c r="S209" i="3"/>
  <c r="T203" i="3"/>
  <c r="T211" i="3"/>
  <c r="U205" i="3"/>
  <c r="S203" i="3"/>
  <c r="S211" i="3"/>
  <c r="T205" i="3"/>
  <c r="U210" i="3"/>
  <c r="S205" i="3"/>
  <c r="T210" i="3"/>
  <c r="U204" i="3"/>
  <c r="S210" i="3"/>
  <c r="T204" i="3"/>
  <c r="U209" i="3"/>
  <c r="S204" i="3"/>
  <c r="T209" i="3"/>
  <c r="U203" i="3"/>
  <c r="U25" i="3"/>
  <c r="S23" i="3"/>
  <c r="T17" i="3"/>
  <c r="T25" i="3"/>
  <c r="U19" i="3"/>
  <c r="S17" i="3"/>
  <c r="S25" i="3"/>
  <c r="T19" i="3"/>
  <c r="U24" i="3"/>
  <c r="S19" i="3"/>
  <c r="T24" i="3"/>
  <c r="U18" i="3"/>
  <c r="S24" i="3"/>
  <c r="T18" i="3"/>
  <c r="U23" i="3"/>
  <c r="S18" i="3"/>
  <c r="T23" i="3"/>
  <c r="U17" i="3"/>
</calcChain>
</file>

<file path=xl/sharedStrings.xml><?xml version="1.0" encoding="utf-8"?>
<sst xmlns="http://schemas.openxmlformats.org/spreadsheetml/2006/main" count="3251" uniqueCount="495">
  <si>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</si>
  <si>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</si>
  <si>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</si>
  <si>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</si>
  <si>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</si>
  <si>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</si>
  <si>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Николаев Владимир Сергеевич</t>
  </si>
  <si>
    <t>2023-09-01</t>
  </si>
  <si>
    <t>Орлов Павел Денисович</t>
  </si>
  <si>
    <t>Васильев Артем Станиславович</t>
  </si>
  <si>
    <t>Яковлев Артем Игоревич</t>
  </si>
  <si>
    <t>Волков Никита Ильич</t>
  </si>
  <si>
    <t>2023-09-04</t>
  </si>
  <si>
    <t>Белов Алексей Константинович</t>
  </si>
  <si>
    <t>Николаев Владимир Кириллович</t>
  </si>
  <si>
    <t>Ткаченко Андрей Олегович</t>
  </si>
  <si>
    <t>Иванов Максим Романович</t>
  </si>
  <si>
    <t>Смирнова Татьяна Олеговна</t>
  </si>
  <si>
    <t>Лебедев Сергей Егорович</t>
  </si>
  <si>
    <t>Павлова Виктория Геннадьевна</t>
  </si>
  <si>
    <t>2023-09-05</t>
  </si>
  <si>
    <t>Николаева Валерия Викторовна</t>
  </si>
  <si>
    <t>2023-09-06</t>
  </si>
  <si>
    <t>Громова Мария Ильинична</t>
  </si>
  <si>
    <t>Сидоров Константин Викторович</t>
  </si>
  <si>
    <t>Петрова Людмила Олеговна</t>
  </si>
  <si>
    <t>2023-09-07</t>
  </si>
  <si>
    <t>Иванова Анна Сергеевна</t>
  </si>
  <si>
    <t>Орлова Мария Александровна</t>
  </si>
  <si>
    <t>2023-09-08</t>
  </si>
  <si>
    <t>Петрова Валерия Александровна</t>
  </si>
  <si>
    <t>Петров Владимир Кириллович</t>
  </si>
  <si>
    <t>Новикова Анна Викторовна</t>
  </si>
  <si>
    <t>Иванова Ксения Сергеевна</t>
  </si>
  <si>
    <t>2023-09-11</t>
  </si>
  <si>
    <t>Федоров Владимир Викторович</t>
  </si>
  <si>
    <t>Сидоров Константин Александрович</t>
  </si>
  <si>
    <t>Петрова Ирина Кирилловна</t>
  </si>
  <si>
    <t>Федорова Ирина Сергеевна</t>
  </si>
  <si>
    <t>Иванова Екатерина Егоровна</t>
  </si>
  <si>
    <t>Новикова Ольга Петровна</t>
  </si>
  <si>
    <t>Попов Кирилл Владимирович</t>
  </si>
  <si>
    <t>2023-09-12</t>
  </si>
  <si>
    <t>Иванова Татьяна Кирилловна</t>
  </si>
  <si>
    <t>Морозов Артем Викторович</t>
  </si>
  <si>
    <t>Алексеева Виктория Кирилловна</t>
  </si>
  <si>
    <t>Орлова Людмила Андреевна</t>
  </si>
  <si>
    <t>Орлов Михаил Ильич</t>
  </si>
  <si>
    <t>2023-09-13</t>
  </si>
  <si>
    <t>Попова София Станиславовна</t>
  </si>
  <si>
    <t>Иванов Константин Александрович</t>
  </si>
  <si>
    <t>Кузнецов Дмитрий Львович</t>
  </si>
  <si>
    <t>Новиков Егор Сергеевич</t>
  </si>
  <si>
    <t>2023-09-14</t>
  </si>
  <si>
    <t>Лебедева Мария Андреевна</t>
  </si>
  <si>
    <t>2023-09-15</t>
  </si>
  <si>
    <t>Иванов Георгий Александрович</t>
  </si>
  <si>
    <t>2023-09-18</t>
  </si>
  <si>
    <t>Козлова Полина Ивановна</t>
  </si>
  <si>
    <t>Сидорова София Артемовна</t>
  </si>
  <si>
    <t>Козлова Людмила Олеговна</t>
  </si>
  <si>
    <t>Степанов Матвей Геннадьевич</t>
  </si>
  <si>
    <t>Лебедев Роман Иванович</t>
  </si>
  <si>
    <t>Волков Алексей Ильич</t>
  </si>
  <si>
    <t>Морозова Дарья Сергеевна</t>
  </si>
  <si>
    <t>Степанова Валерия Станиславовна</t>
  </si>
  <si>
    <t>Сидорова Елена Васильевна</t>
  </si>
  <si>
    <t>Павлов Кирилл Дмитриевич</t>
  </si>
  <si>
    <t>Волкова Александра Михайловна</t>
  </si>
  <si>
    <t>Сидорова Дарья Дмитриевна</t>
  </si>
  <si>
    <t>Сидорова Ксения Владимировна</t>
  </si>
  <si>
    <t>2023-09-19</t>
  </si>
  <si>
    <t>Новикова Людмила Егоровна</t>
  </si>
  <si>
    <t>2023-09-20</t>
  </si>
  <si>
    <t>Алексеева Вероника Михайловна</t>
  </si>
  <si>
    <t>2023-09-21</t>
  </si>
  <si>
    <t>Семенова Ирина Валерьевна</t>
  </si>
  <si>
    <t>Федорова Людмила Кирилловна</t>
  </si>
  <si>
    <t>Иванова Наталья Владимировна</t>
  </si>
  <si>
    <t>Орлова Юлия Павловна</t>
  </si>
  <si>
    <t>Волкова София Андреевна</t>
  </si>
  <si>
    <t>2023-09-22</t>
  </si>
  <si>
    <t>Петров Кирилл Павлович</t>
  </si>
  <si>
    <t>Павлов Андрей Павлович</t>
  </si>
  <si>
    <t>2023-09-25</t>
  </si>
  <si>
    <t>Иванов Михаил Олегович</t>
  </si>
  <si>
    <t>Новикова Татьяна Владимировна</t>
  </si>
  <si>
    <t>Николаев Артем Никитич</t>
  </si>
  <si>
    <t>Николаева Людмила Олеговна</t>
  </si>
  <si>
    <t>Павлова Мария Сергеевна</t>
  </si>
  <si>
    <t>Попова Ксения Кирилловна</t>
  </si>
  <si>
    <t>Кузнецов Илья Дмитриевич</t>
  </si>
  <si>
    <t>Лебедева Виктория Геннадьевна</t>
  </si>
  <si>
    <t>2023-09-26</t>
  </si>
  <si>
    <t>Сидорова Мария Геннадьевна</t>
  </si>
  <si>
    <t>2023-09-27</t>
  </si>
  <si>
    <t>Степанова Ксения Станиславовна</t>
  </si>
  <si>
    <t>2023-09-28</t>
  </si>
  <si>
    <t>Морозов Артур Ильич</t>
  </si>
  <si>
    <t>Николаева Наталья Александровна</t>
  </si>
  <si>
    <t>Орлова Ирина Викторовна</t>
  </si>
  <si>
    <t>2023-09-29</t>
  </si>
  <si>
    <t>Семенов Иван Романович</t>
  </si>
  <si>
    <t>2023-10-02</t>
  </si>
  <si>
    <t>Иванов Павел Олегович</t>
  </si>
  <si>
    <t>Лебедева Виктория Кирилловна</t>
  </si>
  <si>
    <t>Козлова Ирина Юрьевна</t>
  </si>
  <si>
    <t>Федорова Наталья Дмитриевна</t>
  </si>
  <si>
    <t>2023-10-03</t>
  </si>
  <si>
    <t>Николаева Валерия Павловна</t>
  </si>
  <si>
    <t>Кузнецов Никита Александрович</t>
  </si>
  <si>
    <t>Алексеев Кирилл Михайлович</t>
  </si>
  <si>
    <t>2023-10-04</t>
  </si>
  <si>
    <t>Лебедев Артем Викторович</t>
  </si>
  <si>
    <t>Павлов Кирилл Станиславович</t>
  </si>
  <si>
    <t>Васильев Георгий Станиславович</t>
  </si>
  <si>
    <t>Кузнецов Артур Никитич</t>
  </si>
  <si>
    <t>Морозова Валерия Александровна</t>
  </si>
  <si>
    <t>2023-10-05</t>
  </si>
  <si>
    <t>Козлов Георгий Михайлович</t>
  </si>
  <si>
    <t>2023-10-09</t>
  </si>
  <si>
    <t>Алексеев Сергей Иванович</t>
  </si>
  <si>
    <t>Иванова Алиса Артемовна</t>
  </si>
  <si>
    <t>Попова Виктория Викторовна</t>
  </si>
  <si>
    <t>Алексеев Михаил Михайлович</t>
  </si>
  <si>
    <t>Николаев Владимир Павлович</t>
  </si>
  <si>
    <t>Морозова Ольга Сергеевна</t>
  </si>
  <si>
    <t>2023-10-10</t>
  </si>
  <si>
    <t>2023-10-11</t>
  </si>
  <si>
    <t>Алексеева Ольга Сергеевна</t>
  </si>
  <si>
    <t>Морозова Светлана Александровна</t>
  </si>
  <si>
    <t>Морозова Вероника Станиславовна</t>
  </si>
  <si>
    <t>2023-10-12</t>
  </si>
  <si>
    <t>Орлова Вероника Павловна</t>
  </si>
  <si>
    <t>Орлов Сергей Викторович</t>
  </si>
  <si>
    <t>2023-10-13</t>
  </si>
  <si>
    <t>Попов Павел Павлович</t>
  </si>
  <si>
    <t>Лебедев Георгий Геннадьевич</t>
  </si>
  <si>
    <t>2023-10-16</t>
  </si>
  <si>
    <t>Васильев Алексей Викторович</t>
  </si>
  <si>
    <t>Кузнецова Полина Ильинична</t>
  </si>
  <si>
    <t>2023-10-17</t>
  </si>
  <si>
    <t>Морозов Роман Никитич</t>
  </si>
  <si>
    <t>Попова Алиса Геннадьевна</t>
  </si>
  <si>
    <t>Сидоров Владимир Сергеевич</t>
  </si>
  <si>
    <t>2023-10-18</t>
  </si>
  <si>
    <t>Кузнецова Татьяна Ивановна</t>
  </si>
  <si>
    <t>2023-10-19</t>
  </si>
  <si>
    <t>Козлова Александра Владимировна</t>
  </si>
  <si>
    <t>2023-10-20</t>
  </si>
  <si>
    <t>2023-10-23</t>
  </si>
  <si>
    <t>Николаев Дмитрий Александрович</t>
  </si>
  <si>
    <t>Иванова Ирина Артемовна</t>
  </si>
  <si>
    <t>2023-10-24</t>
  </si>
  <si>
    <t>2023-10-25</t>
  </si>
  <si>
    <t>Алексеева София Сергеевна</t>
  </si>
  <si>
    <t>2023-10-26</t>
  </si>
  <si>
    <t>Смирнов Никита Сергеевич</t>
  </si>
  <si>
    <t>Иванов Егор Егорович</t>
  </si>
  <si>
    <t>2023-10-30</t>
  </si>
  <si>
    <t>Алексеев Константин Егорович</t>
  </si>
  <si>
    <t>Николаева Валерия Алексеевна</t>
  </si>
  <si>
    <t>Смирнова Полина Дмитриевна</t>
  </si>
  <si>
    <t>Федоров Кирилл Владимирович</t>
  </si>
  <si>
    <t>2023-10-31</t>
  </si>
  <si>
    <t>2023-11-01</t>
  </si>
  <si>
    <t>2023-11-02</t>
  </si>
  <si>
    <t>Морозов Илья Дмитриевич</t>
  </si>
  <si>
    <t>Семенова Анна Егоровна</t>
  </si>
  <si>
    <t>Новикова Наталья Владимировна</t>
  </si>
  <si>
    <t>2023-11-03</t>
  </si>
  <si>
    <t>2023-11-06</t>
  </si>
  <si>
    <t>Морозов Алексей Сергеевич</t>
  </si>
  <si>
    <t>Егорова Алиса Станиславовна</t>
  </si>
  <si>
    <t>2023-11-07</t>
  </si>
  <si>
    <t>2023-11-08</t>
  </si>
  <si>
    <t>Петров Владимир Павлович</t>
  </si>
  <si>
    <t>Петрова Виктория Олеговна</t>
  </si>
  <si>
    <t>2023-11-09</t>
  </si>
  <si>
    <t>Смирнова Мария Викторовна</t>
  </si>
  <si>
    <t>2023-11-10</t>
  </si>
  <si>
    <t>Кузнецова Елена Ивановна</t>
  </si>
  <si>
    <t>2023-11-13</t>
  </si>
  <si>
    <t>Попова Полина Дмитриевна</t>
  </si>
  <si>
    <t>Алексеева Наталья Егоровна</t>
  </si>
  <si>
    <t>2023-11-14</t>
  </si>
  <si>
    <t>Смирнов Артем Сергеевич</t>
  </si>
  <si>
    <t>Степанова Людмила Михайловна</t>
  </si>
  <si>
    <t>2023-11-15</t>
  </si>
  <si>
    <t>Степанова Наталья Егоровна</t>
  </si>
  <si>
    <t>2023-11-16</t>
  </si>
  <si>
    <t>Сидоров Дмитрий Ильич</t>
  </si>
  <si>
    <t>2023-11-17</t>
  </si>
  <si>
    <t>Лебедева Ирина Сергеевна</t>
  </si>
  <si>
    <t>Смирнова Людмила Кирилловна</t>
  </si>
  <si>
    <t>2023-11-20</t>
  </si>
  <si>
    <t>Попова Наталья Сергеевна</t>
  </si>
  <si>
    <t>Сидорова Алиса Артемовна</t>
  </si>
  <si>
    <t>Сидорова Людмила Романовна</t>
  </si>
  <si>
    <t>2023-11-21</t>
  </si>
  <si>
    <t>Петров Илья Никитич</t>
  </si>
  <si>
    <t>2023-11-22</t>
  </si>
  <si>
    <t>Смирнова Екатерина Викторовна</t>
  </si>
  <si>
    <t>2023-11-23</t>
  </si>
  <si>
    <t>2023-11-24</t>
  </si>
  <si>
    <t>2023-11-27</t>
  </si>
  <si>
    <t>Петров Сергей Павлович</t>
  </si>
  <si>
    <t>Федорова Полина Владимировна</t>
  </si>
  <si>
    <t>Степанова Татьяна Викторовна</t>
  </si>
  <si>
    <t>2023-11-28</t>
  </si>
  <si>
    <t>Васильева Ксения Михайловна</t>
  </si>
  <si>
    <t>Новиков Илья Владимирович</t>
  </si>
  <si>
    <t>2023-11-29</t>
  </si>
  <si>
    <t>Николаев Константин Викторович</t>
  </si>
  <si>
    <t>2023-11-30</t>
  </si>
  <si>
    <t>Николаев Роман Владимирович</t>
  </si>
  <si>
    <t>Орлов Владимир Алексеевич</t>
  </si>
  <si>
    <t>2023-12-01</t>
  </si>
  <si>
    <t>2023-12-04</t>
  </si>
  <si>
    <t>Степанов Матвей Викторович</t>
  </si>
  <si>
    <t>Павлов Андрей Иванович</t>
  </si>
  <si>
    <t>Новиков Георгий Артемович</t>
  </si>
  <si>
    <t>2023-12-05</t>
  </si>
  <si>
    <t>2023-12-06</t>
  </si>
  <si>
    <t>Попова София Сергеевна</t>
  </si>
  <si>
    <t>Егорова Татьяна Ивановна</t>
  </si>
  <si>
    <t>2023-12-07</t>
  </si>
  <si>
    <t>2023-12-08</t>
  </si>
  <si>
    <t>Смирнова София Никитична</t>
  </si>
  <si>
    <t>Иванова Ирина Павловна</t>
  </si>
  <si>
    <t>Семенов Никита Андреевич</t>
  </si>
  <si>
    <t>2023-12-11</t>
  </si>
  <si>
    <t>Козлова Мария Ильинична</t>
  </si>
  <si>
    <t>Орлов Константин Ильич</t>
  </si>
  <si>
    <t>Новикова Елена Никитична</t>
  </si>
  <si>
    <t>Иванов Егор Станиславович</t>
  </si>
  <si>
    <t>2023-12-12</t>
  </si>
  <si>
    <t>Волкова Юлия Алексеевна</t>
  </si>
  <si>
    <t>2023-12-13</t>
  </si>
  <si>
    <t>2023-12-14</t>
  </si>
  <si>
    <t>2023-12-15</t>
  </si>
  <si>
    <t>2023-12-18</t>
  </si>
  <si>
    <t>Федорова Алиса Ивановна</t>
  </si>
  <si>
    <t>Лебедева Ксения Кирилловна</t>
  </si>
  <si>
    <t>2023-12-19</t>
  </si>
  <si>
    <t>2023-12-21</t>
  </si>
  <si>
    <t>Федорова Татьяна Олеговна</t>
  </si>
  <si>
    <t>Васильева Виктория Кирилловна</t>
  </si>
  <si>
    <t>2023-12-22</t>
  </si>
  <si>
    <t>Егоров Илья Станиславович</t>
  </si>
  <si>
    <t>2023-12-25</t>
  </si>
  <si>
    <t>Васильев Артур Ильич</t>
  </si>
  <si>
    <t>Алексеева Александра Артемовна</t>
  </si>
  <si>
    <t>Павлова Наталья Ивановна</t>
  </si>
  <si>
    <t>2023-12-26</t>
  </si>
  <si>
    <t>Морозова Алиса Павловна</t>
  </si>
  <si>
    <t>Сидорова Анна Андреевна</t>
  </si>
  <si>
    <t>2023-12-27</t>
  </si>
  <si>
    <t>2023-12-28</t>
  </si>
  <si>
    <t>Павлова Ксения Никитична</t>
  </si>
  <si>
    <t>2024-01-01</t>
  </si>
  <si>
    <t>Лебедев Михаил Станиславович</t>
  </si>
  <si>
    <t>Лебедева Татьяна Егоровна</t>
  </si>
  <si>
    <t>2024-01-02</t>
  </si>
  <si>
    <t>2024-01-03</t>
  </si>
  <si>
    <t>2024-01-04</t>
  </si>
  <si>
    <t>Петрова София Никитична</t>
  </si>
  <si>
    <t>2024-01-05</t>
  </si>
  <si>
    <t>Новикова София Владимировна</t>
  </si>
  <si>
    <t>2024-01-08</t>
  </si>
  <si>
    <t>Козлова Елена Юрьевна</t>
  </si>
  <si>
    <t>2024-01-10</t>
  </si>
  <si>
    <t>Волков Владимир Геннадьевич</t>
  </si>
  <si>
    <t>2024-01-11</t>
  </si>
  <si>
    <t>2024-01-12</t>
  </si>
  <si>
    <t>2024-01-15</t>
  </si>
  <si>
    <t>Николаев Алексей Никитич</t>
  </si>
  <si>
    <t>2024-01-16</t>
  </si>
  <si>
    <t>Иванова Юлия Александровна</t>
  </si>
  <si>
    <t>2024-01-17</t>
  </si>
  <si>
    <t>2024-01-18</t>
  </si>
  <si>
    <t>2024-01-19</t>
  </si>
  <si>
    <t>2024-01-22</t>
  </si>
  <si>
    <t>Морозов Алексей Ильич</t>
  </si>
  <si>
    <t>Алексеева Елена Кирилловна</t>
  </si>
  <si>
    <t>2024-01-23</t>
  </si>
  <si>
    <t>Федорова Дарья Романовна</t>
  </si>
  <si>
    <t>2024-01-24</t>
  </si>
  <si>
    <t>Николаева Дарья Андреевна</t>
  </si>
  <si>
    <t>2024-01-25</t>
  </si>
  <si>
    <t>2024-01-26</t>
  </si>
  <si>
    <t>2024-01-29</t>
  </si>
  <si>
    <t>Алексеева Светлана Ивановна</t>
  </si>
  <si>
    <t>Алексеева Светлана Алексеевна</t>
  </si>
  <si>
    <t>2024-01-30</t>
  </si>
  <si>
    <t>2024-01-31</t>
  </si>
  <si>
    <t>2024-02-01</t>
  </si>
  <si>
    <t>2024-02-02</t>
  </si>
  <si>
    <t>2024-02-05</t>
  </si>
  <si>
    <t>Семенов Максим Геннадьевич</t>
  </si>
  <si>
    <t>Козлова Анна Станиславовна</t>
  </si>
  <si>
    <t>Попов Роман Ильич</t>
  </si>
  <si>
    <t>2024-02-07</t>
  </si>
  <si>
    <t>2024-02-08</t>
  </si>
  <si>
    <t>2024-02-09</t>
  </si>
  <si>
    <t>Алексеева Виктория Станиславовна</t>
  </si>
  <si>
    <t>2024-02-12</t>
  </si>
  <si>
    <t>2024-02-13</t>
  </si>
  <si>
    <t>2024-02-14</t>
  </si>
  <si>
    <t>2024-02-15</t>
  </si>
  <si>
    <t>2024-02-16</t>
  </si>
  <si>
    <t>Лебедев Матвей Ильич</t>
  </si>
  <si>
    <t>Попова Валерия Геннадьевна</t>
  </si>
  <si>
    <t>2024-02-19</t>
  </si>
  <si>
    <t>Новиков Илья Романович</t>
  </si>
  <si>
    <t>2024-02-20</t>
  </si>
  <si>
    <t>2024-02-21</t>
  </si>
  <si>
    <t>2024-02-22</t>
  </si>
  <si>
    <t>Смирнова Наталья Алексеевна</t>
  </si>
  <si>
    <t>2024-02-23</t>
  </si>
  <si>
    <t>2024-02-26</t>
  </si>
  <si>
    <t>2024-02-27</t>
  </si>
  <si>
    <t>2024-02-28</t>
  </si>
  <si>
    <t>2024-02-29</t>
  </si>
  <si>
    <t>Новиков Сергей Алексеевич</t>
  </si>
  <si>
    <t>2024-03-01</t>
  </si>
  <si>
    <t>2024-03-04</t>
  </si>
  <si>
    <t>Павлова Александра Сергеевна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</si>
  <si>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</si>
  <si>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</si>
  <si>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</si>
  <si>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</si>
  <si>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</si>
  <si>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</si>
  <si>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</si>
  <si>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</si>
  <si>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</si>
  <si>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</si>
  <si>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Егорова Валерия Дмитриевна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</si>
  <si>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</si>
  <si>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</si>
  <si>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</si>
  <si>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</si>
  <si>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</si>
  <si>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</si>
  <si>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</si>
  <si>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</si>
  <si>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</si>
  <si>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</si>
  <si>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Степанов Матвей Андреевич</t>
  </si>
  <si>
    <t>2024-04-02</t>
  </si>
  <si>
    <t>2024-04-03</t>
  </si>
  <si>
    <t>Семенов Владимир Александрович</t>
  </si>
  <si>
    <t>2024-04-04</t>
  </si>
  <si>
    <t>2024-04-05</t>
  </si>
  <si>
    <t>Степанова Светлана Кирилловна</t>
  </si>
  <si>
    <t>2024-04-08</t>
  </si>
  <si>
    <t>2024-04-10</t>
  </si>
  <si>
    <t>2024-04-11</t>
  </si>
  <si>
    <t>Васильев Иван Артемович</t>
  </si>
  <si>
    <t>2024-04-15</t>
  </si>
  <si>
    <t>2024-04-16</t>
  </si>
  <si>
    <t>2024-04-17</t>
  </si>
  <si>
    <t>2024-04-18</t>
  </si>
  <si>
    <t>2024-04-19</t>
  </si>
  <si>
    <t>2024-04-22</t>
  </si>
  <si>
    <t>Алексеев Артем Сергеевич</t>
  </si>
  <si>
    <t>2024-04-23</t>
  </si>
  <si>
    <t>Петрова Наталья Владимировна</t>
  </si>
  <si>
    <t>2024-04-24</t>
  </si>
  <si>
    <t>2024-04-25</t>
  </si>
  <si>
    <t>2024-04-26</t>
  </si>
  <si>
    <t>2024-04-29</t>
  </si>
  <si>
    <t>Орлова Елена Олеговна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</si>
  <si>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</si>
  <si>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</si>
  <si>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</si>
  <si>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</si>
  <si>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</si>
  <si>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</si>
  <si>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</si>
  <si>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</si>
  <si>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</si>
  <si>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</si>
  <si>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Лебедева Полина Артемовна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</si>
  <si>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</si>
  <si>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</si>
  <si>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</si>
  <si>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</si>
  <si>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</si>
  <si>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</si>
  <si>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</si>
  <si>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</si>
  <si>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</si>
  <si>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</si>
  <si>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</si>
  <si>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</si>
  <si>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</si>
  <si>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</si>
  <si>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</si>
  <si>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</si>
  <si>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</si>
  <si>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</si>
  <si>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2024-06-10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</si>
  <si>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</si>
  <si>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</si>
  <si>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</si>
  <si>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</si>
  <si>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</si>
  <si>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</si>
  <si>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</si>
  <si>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</si>
  <si>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</si>
  <si>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</si>
  <si>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</si>
  <si>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</si>
  <si>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</si>
  <si>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</si>
  <si>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</si>
  <si>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</si>
  <si>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</si>
  <si>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</si>
  <si>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</si>
  <si>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</si>
  <si>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</si>
  <si>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</si>
  <si>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</si>
  <si>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</si>
  <si>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</si>
  <si>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</si>
  <si>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</si>
  <si>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</si>
  <si>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Орлов Павел Дмитриевич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</si>
  <si>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</si>
  <si>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</si>
  <si>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</si>
  <si>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</si>
  <si>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</si>
  <si>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</si>
  <si>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</si>
  <si>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</si>
  <si>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</si>
  <si>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</si>
  <si>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</si>
  <si>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</si>
  <si>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</si>
  <si>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</si>
  <si>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</si>
  <si>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</si>
  <si>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Иванов Егор Юрьевич</t>
  </si>
  <si>
    <t>2024-08-15</t>
  </si>
  <si>
    <t>Сидорова Виктория Сергеевна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</si>
  <si>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</si>
  <si>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</si>
  <si>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</si>
  <si>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</si>
  <si>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</si>
  <si>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</si>
  <si>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</si>
  <si>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</si>
  <si>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</si>
  <si>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</si>
  <si>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</si>
  <si>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</si>
  <si>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</si>
  <si>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</si>
  <si>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</si>
  <si>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Сумма сделок</t>
  </si>
  <si>
    <t>Количество сделок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</si>
  <si>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</si>
  <si>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</si>
  <si>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</si>
  <si>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</si>
  <si>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</si>
  <si>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</si>
  <si>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</si>
  <si>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</si>
  <si>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</si>
  <si>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</si>
  <si>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</si>
  <si>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</si>
  <si>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</si>
  <si>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</si>
  <si>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</si>
  <si>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</si>
  <si>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Итого за период</t>
  </si>
  <si>
    <t>Сводная таблица</t>
  </si>
  <si>
    <t>количество клиентов каждой категории</t>
  </si>
  <si>
    <t>X</t>
  </si>
  <si>
    <t>Y</t>
  </si>
  <si>
    <t>Z</t>
  </si>
  <si>
    <t>A</t>
  </si>
  <si>
    <t>B</t>
  </si>
  <si>
    <t>C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</si>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</sst>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87182226020086"/>
        <bgColor rgb="FFCCC1DA"/>
      </patternFill>
    </fill>
    <fill>
      <patternFill patternType="solid">
        <fgColor theme="7" tint="0.59987182226020086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zoomScaleNormal="100" workbookViewId="0">
      <selection activeCell="B40" sqref="B40"/>
    </sheetView>
  </sheetViews>
  <sheetFormatPr defaultColWidth="8.7109375" defaultRowHeight="14.25" customHeight="1" x14ac:dyDescent="0.25"/>
  <cols>
    <col min="1" max="2" width="33" style="1" customWidth="1"/>
    <col min="3" max="3" width="12" style="1" customWidth="1"/>
    <col min="4" max="4" width="15" style="1" customWidth="1"/>
    <col min="5" max="5" width="5" style="1" customWidth="1"/>
  </cols>
  <sheetData>
    <row r="1" spans="1: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25">
      <c r="A2" s="1" t="s">
        <v>5</v>
      </c>
      <c r="B2" s="1" t="s">
        <v>6</v>
      </c>
      <c r="C2" s="1" t="s">
        <v>7</v>
      </c>
      <c r="D2" s="1">
        <v>91603</v>
      </c>
      <c r="E2" s="1">
        <v>3</v>
      </c>
    </row>
    <row r="3" spans="1:5" ht="14.25" customHeight="1" x14ac:dyDescent="0.25">
      <c r="A3" s="1" t="s">
        <v>8</v>
      </c>
      <c r="B3" s="1" t="s">
        <v>9</v>
      </c>
      <c r="C3" s="1" t="s">
        <v>7</v>
      </c>
      <c r="D3" s="1">
        <v>61171</v>
      </c>
      <c r="E3" s="1">
        <v>7</v>
      </c>
    </row>
    <row r="4" spans="1:5" ht="14.25" customHeight="1" x14ac:dyDescent="0.25">
      <c r="A4" s="1" t="s">
        <v>10</v>
      </c>
      <c r="B4" s="1" t="s">
        <v>11</v>
      </c>
      <c r="C4" s="1" t="s">
        <v>12</v>
      </c>
      <c r="D4" s="1">
        <v>51778</v>
      </c>
      <c r="E4" s="1">
        <v>6</v>
      </c>
    </row>
    <row r="5" spans="1:5" ht="14.25" customHeight="1" x14ac:dyDescent="0.25">
      <c r="A5" s="1" t="s">
        <v>13</v>
      </c>
      <c r="B5" s="1" t="s">
        <v>14</v>
      </c>
      <c r="C5" s="1" t="s">
        <v>12</v>
      </c>
      <c r="D5" s="1">
        <v>51467</v>
      </c>
      <c r="E5" s="1">
        <v>8</v>
      </c>
    </row>
    <row r="6" spans="1:5" ht="14.25" customHeight="1" x14ac:dyDescent="0.25">
      <c r="A6" s="1" t="s">
        <v>15</v>
      </c>
      <c r="B6" s="1" t="s">
        <v>16</v>
      </c>
      <c r="C6" s="1" t="s">
        <v>12</v>
      </c>
      <c r="D6" s="1">
        <v>52009</v>
      </c>
      <c r="E6" s="1">
        <v>5</v>
      </c>
    </row>
    <row r="7" spans="1:5" ht="14.25" customHeight="1" x14ac:dyDescent="0.25">
      <c r="A7" s="1" t="s">
        <v>10</v>
      </c>
      <c r="B7" s="1" t="s">
        <v>17</v>
      </c>
      <c r="C7" s="1" t="s">
        <v>12</v>
      </c>
      <c r="D7" s="1">
        <v>81699</v>
      </c>
      <c r="E7" s="1">
        <v>1</v>
      </c>
    </row>
    <row r="8" spans="1:5" ht="14.25" customHeight="1" x14ac:dyDescent="0.25">
      <c r="A8" s="1" t="s">
        <v>13</v>
      </c>
      <c r="B8" s="1" t="s">
        <v>18</v>
      </c>
      <c r="C8" s="1" t="s">
        <v>12</v>
      </c>
      <c r="D8" s="1">
        <v>44795</v>
      </c>
      <c r="E8" s="1">
        <v>8</v>
      </c>
    </row>
    <row r="9" spans="1:5" ht="14.25" customHeight="1" x14ac:dyDescent="0.25">
      <c r="A9" s="1" t="s">
        <v>8</v>
      </c>
      <c r="B9" s="1" t="s">
        <v>19</v>
      </c>
      <c r="C9" s="1" t="s">
        <v>20</v>
      </c>
      <c r="D9" s="1">
        <v>37288</v>
      </c>
      <c r="E9" s="1">
        <v>5</v>
      </c>
    </row>
    <row r="10" spans="1:5" ht="14.25" customHeight="1" x14ac:dyDescent="0.25">
      <c r="A10" s="1" t="s">
        <v>13</v>
      </c>
      <c r="B10" s="1" t="s">
        <v>21</v>
      </c>
      <c r="C10" s="1" t="s">
        <v>22</v>
      </c>
      <c r="D10" s="1">
        <v>97387</v>
      </c>
      <c r="E10" s="1">
        <v>6</v>
      </c>
    </row>
    <row r="11" spans="1:5" ht="14.25" customHeight="1" x14ac:dyDescent="0.25">
      <c r="A11" s="1" t="s">
        <v>23</v>
      </c>
      <c r="B11" s="1" t="s">
        <v>24</v>
      </c>
      <c r="C11" s="1" t="s">
        <v>22</v>
      </c>
      <c r="D11" s="1">
        <v>62927</v>
      </c>
      <c r="E11" s="1">
        <v>6</v>
      </c>
    </row>
    <row r="12" spans="1:5" ht="14.25" customHeight="1" x14ac:dyDescent="0.25">
      <c r="A12" s="1" t="s">
        <v>23</v>
      </c>
      <c r="B12" s="1" t="s">
        <v>25</v>
      </c>
      <c r="C12" s="1" t="s">
        <v>26</v>
      </c>
      <c r="D12" s="1">
        <v>94709</v>
      </c>
      <c r="E12" s="1">
        <v>7</v>
      </c>
    </row>
    <row r="13" spans="1:5" ht="14.25" customHeight="1" x14ac:dyDescent="0.25">
      <c r="A13" s="1" t="s">
        <v>27</v>
      </c>
      <c r="B13" s="1" t="s">
        <v>28</v>
      </c>
      <c r="C13" s="1" t="s">
        <v>29</v>
      </c>
      <c r="D13" s="1">
        <v>11860</v>
      </c>
      <c r="E13" s="1">
        <v>10</v>
      </c>
    </row>
    <row r="14" spans="1:5" ht="14.25" customHeight="1" x14ac:dyDescent="0.25">
      <c r="A14" s="1" t="s">
        <v>23</v>
      </c>
      <c r="B14" s="1" t="s">
        <v>30</v>
      </c>
      <c r="C14" s="1" t="s">
        <v>29</v>
      </c>
      <c r="D14" s="1">
        <v>44823</v>
      </c>
      <c r="E14" s="1">
        <v>5</v>
      </c>
    </row>
    <row r="15" spans="1:5" ht="14.25" customHeight="1" x14ac:dyDescent="0.25">
      <c r="A15" s="1" t="s">
        <v>31</v>
      </c>
      <c r="B15" s="1" t="s">
        <v>32</v>
      </c>
      <c r="C15" s="1" t="s">
        <v>29</v>
      </c>
      <c r="D15" s="1">
        <v>65909</v>
      </c>
      <c r="E15" s="1">
        <v>3</v>
      </c>
    </row>
    <row r="16" spans="1:5" ht="14.25" customHeight="1" x14ac:dyDescent="0.25">
      <c r="A16" s="1" t="s">
        <v>8</v>
      </c>
      <c r="B16" s="1" t="s">
        <v>33</v>
      </c>
      <c r="C16" s="1" t="s">
        <v>34</v>
      </c>
      <c r="D16" s="1">
        <v>94519</v>
      </c>
      <c r="E16" s="1">
        <v>3</v>
      </c>
    </row>
    <row r="17" spans="1:5" ht="14.25" customHeight="1" x14ac:dyDescent="0.25">
      <c r="A17" s="1" t="s">
        <v>8</v>
      </c>
      <c r="B17" s="1" t="s">
        <v>35</v>
      </c>
      <c r="C17" s="1" t="s">
        <v>34</v>
      </c>
      <c r="D17" s="1">
        <v>20637</v>
      </c>
      <c r="E17" s="1">
        <v>7</v>
      </c>
    </row>
    <row r="18" spans="1:5" ht="14.25" customHeight="1" x14ac:dyDescent="0.25">
      <c r="A18" s="1" t="s">
        <v>13</v>
      </c>
      <c r="B18" s="1" t="s">
        <v>36</v>
      </c>
      <c r="C18" s="1" t="s">
        <v>34</v>
      </c>
      <c r="D18" s="1">
        <v>87682</v>
      </c>
      <c r="E18" s="1">
        <v>7</v>
      </c>
    </row>
    <row r="19" spans="1:5" ht="14.25" customHeight="1" x14ac:dyDescent="0.25">
      <c r="A19" s="1" t="s">
        <v>23</v>
      </c>
      <c r="B19" s="1" t="s">
        <v>37</v>
      </c>
      <c r="C19" s="1" t="s">
        <v>34</v>
      </c>
      <c r="D19" s="1">
        <v>43175</v>
      </c>
      <c r="E19" s="1">
        <v>9</v>
      </c>
    </row>
    <row r="20" spans="1:5" ht="14.25" customHeight="1" x14ac:dyDescent="0.25">
      <c r="A20" s="1" t="s">
        <v>27</v>
      </c>
      <c r="B20" s="1" t="s">
        <v>38</v>
      </c>
      <c r="C20" s="1" t="s">
        <v>34</v>
      </c>
      <c r="D20" s="1">
        <v>87646</v>
      </c>
      <c r="E20" s="1">
        <v>6</v>
      </c>
    </row>
    <row r="21" spans="1:5" ht="14.25" customHeight="1" x14ac:dyDescent="0.25">
      <c r="A21" s="1" t="s">
        <v>13</v>
      </c>
      <c r="B21" s="1" t="s">
        <v>39</v>
      </c>
      <c r="C21" s="1" t="s">
        <v>34</v>
      </c>
      <c r="D21" s="1">
        <v>32377</v>
      </c>
      <c r="E21" s="1">
        <v>7</v>
      </c>
    </row>
    <row r="22" spans="1:5" ht="14.25" customHeight="1" x14ac:dyDescent="0.25">
      <c r="A22" s="1" t="s">
        <v>40</v>
      </c>
      <c r="B22" s="1" t="s">
        <v>41</v>
      </c>
      <c r="C22" s="1" t="s">
        <v>42</v>
      </c>
      <c r="D22" s="1">
        <v>68897</v>
      </c>
      <c r="E22" s="1">
        <v>6</v>
      </c>
    </row>
    <row r="23" spans="1:5" ht="14.25" customHeight="1" x14ac:dyDescent="0.25">
      <c r="A23" s="1" t="s">
        <v>8</v>
      </c>
      <c r="B23" s="1" t="s">
        <v>43</v>
      </c>
      <c r="C23" s="1" t="s">
        <v>42</v>
      </c>
      <c r="D23" s="1">
        <v>32365</v>
      </c>
      <c r="E23" s="1">
        <v>3</v>
      </c>
    </row>
    <row r="24" spans="1:5" ht="14.25" customHeight="1" x14ac:dyDescent="0.25">
      <c r="A24" s="1" t="s">
        <v>8</v>
      </c>
      <c r="B24" s="1" t="s">
        <v>44</v>
      </c>
      <c r="C24" s="1" t="s">
        <v>42</v>
      </c>
      <c r="D24" s="1">
        <v>63230</v>
      </c>
      <c r="E24" s="1">
        <v>5</v>
      </c>
    </row>
    <row r="25" spans="1:5" ht="14.25" customHeight="1" x14ac:dyDescent="0.25">
      <c r="A25" s="1" t="s">
        <v>31</v>
      </c>
      <c r="B25" s="1" t="s">
        <v>45</v>
      </c>
      <c r="C25" s="1" t="s">
        <v>42</v>
      </c>
      <c r="D25" s="1">
        <v>12173</v>
      </c>
      <c r="E25" s="1">
        <v>1</v>
      </c>
    </row>
    <row r="26" spans="1:5" ht="14.25" customHeight="1" x14ac:dyDescent="0.25">
      <c r="A26" s="1" t="s">
        <v>8</v>
      </c>
      <c r="B26" s="1" t="s">
        <v>46</v>
      </c>
      <c r="C26" s="1" t="s">
        <v>42</v>
      </c>
      <c r="D26" s="1">
        <v>93863</v>
      </c>
      <c r="E26" s="1">
        <v>6</v>
      </c>
    </row>
    <row r="27" spans="1:5" ht="14.25" customHeight="1" x14ac:dyDescent="0.25">
      <c r="A27" s="1" t="s">
        <v>13</v>
      </c>
      <c r="B27" s="1" t="s">
        <v>47</v>
      </c>
      <c r="C27" s="1" t="s">
        <v>48</v>
      </c>
      <c r="D27" s="1">
        <v>57662</v>
      </c>
      <c r="E27" s="1">
        <v>7</v>
      </c>
    </row>
    <row r="28" spans="1:5" ht="14.25" customHeight="1" x14ac:dyDescent="0.25">
      <c r="A28" s="1" t="s">
        <v>27</v>
      </c>
      <c r="B28" s="1" t="s">
        <v>49</v>
      </c>
      <c r="C28" s="1" t="s">
        <v>48</v>
      </c>
      <c r="D28" s="1">
        <v>37432</v>
      </c>
      <c r="E28" s="1">
        <v>7</v>
      </c>
    </row>
    <row r="29" spans="1:5" ht="14.25" customHeight="1" x14ac:dyDescent="0.25">
      <c r="A29" s="1" t="s">
        <v>10</v>
      </c>
      <c r="B29" s="1" t="s">
        <v>50</v>
      </c>
      <c r="C29" s="1" t="s">
        <v>48</v>
      </c>
      <c r="D29" s="1">
        <v>90314</v>
      </c>
      <c r="E29" s="1">
        <v>10</v>
      </c>
    </row>
    <row r="30" spans="1:5" ht="14.25" customHeight="1" x14ac:dyDescent="0.25">
      <c r="A30" s="1" t="s">
        <v>40</v>
      </c>
      <c r="B30" s="1" t="s">
        <v>46</v>
      </c>
      <c r="C30" s="1" t="s">
        <v>48</v>
      </c>
      <c r="D30" s="1">
        <v>99052</v>
      </c>
      <c r="E30" s="1">
        <v>8</v>
      </c>
    </row>
    <row r="31" spans="1:5" ht="14.25" customHeight="1" x14ac:dyDescent="0.25">
      <c r="A31" s="1" t="s">
        <v>51</v>
      </c>
      <c r="B31" s="1" t="s">
        <v>52</v>
      </c>
      <c r="C31" s="1" t="s">
        <v>53</v>
      </c>
      <c r="D31" s="1">
        <v>64000</v>
      </c>
      <c r="E31" s="1">
        <v>7</v>
      </c>
    </row>
    <row r="32" spans="1:5" ht="14.25" customHeight="1" x14ac:dyDescent="0.25">
      <c r="A32" s="1" t="s">
        <v>10</v>
      </c>
      <c r="B32" s="1" t="s">
        <v>54</v>
      </c>
      <c r="C32" s="1" t="s">
        <v>55</v>
      </c>
      <c r="D32" s="1">
        <v>59796</v>
      </c>
      <c r="E32" s="1">
        <v>6</v>
      </c>
    </row>
    <row r="33" spans="1:5" ht="14.25" customHeight="1" x14ac:dyDescent="0.25">
      <c r="A33" s="1" t="s">
        <v>27</v>
      </c>
      <c r="B33" s="1" t="s">
        <v>56</v>
      </c>
      <c r="C33" s="1" t="s">
        <v>57</v>
      </c>
      <c r="D33" s="1">
        <v>83904</v>
      </c>
      <c r="E33" s="1">
        <v>9</v>
      </c>
    </row>
    <row r="34" spans="1:5" ht="14.25" customHeight="1" x14ac:dyDescent="0.25">
      <c r="A34" s="1" t="s">
        <v>13</v>
      </c>
      <c r="B34" s="1" t="s">
        <v>58</v>
      </c>
      <c r="C34" s="1" t="s">
        <v>57</v>
      </c>
      <c r="D34" s="1">
        <v>83132</v>
      </c>
      <c r="E34" s="1">
        <v>8</v>
      </c>
    </row>
    <row r="35" spans="1:5" ht="14.25" customHeight="1" x14ac:dyDescent="0.25">
      <c r="A35" s="1" t="s">
        <v>23</v>
      </c>
      <c r="B35" s="1" t="s">
        <v>59</v>
      </c>
      <c r="C35" s="1" t="s">
        <v>57</v>
      </c>
      <c r="D35" s="1">
        <v>28226</v>
      </c>
      <c r="E35" s="1">
        <v>7</v>
      </c>
    </row>
    <row r="36" spans="1:5" ht="14.25" customHeight="1" x14ac:dyDescent="0.25">
      <c r="A36" s="1" t="s">
        <v>13</v>
      </c>
      <c r="B36" s="1" t="s">
        <v>60</v>
      </c>
      <c r="C36" s="1" t="s">
        <v>57</v>
      </c>
      <c r="D36" s="1">
        <v>95510</v>
      </c>
      <c r="E36" s="1">
        <v>7</v>
      </c>
    </row>
    <row r="37" spans="1:5" ht="14.25" customHeight="1" x14ac:dyDescent="0.25">
      <c r="A37" s="1" t="s">
        <v>13</v>
      </c>
      <c r="B37" s="1" t="s">
        <v>61</v>
      </c>
      <c r="C37" s="1" t="s">
        <v>57</v>
      </c>
      <c r="D37" s="1">
        <v>26521</v>
      </c>
      <c r="E37" s="1">
        <v>7</v>
      </c>
    </row>
    <row r="38" spans="1:5" ht="14.25" customHeight="1" x14ac:dyDescent="0.25">
      <c r="A38" s="1" t="s">
        <v>51</v>
      </c>
      <c r="B38" s="1" t="s">
        <v>62</v>
      </c>
      <c r="C38" s="1" t="s">
        <v>57</v>
      </c>
      <c r="D38" s="1">
        <v>23154</v>
      </c>
      <c r="E38" s="1">
        <v>5</v>
      </c>
    </row>
    <row r="39" spans="1:5" ht="14.25" customHeight="1" x14ac:dyDescent="0.25">
      <c r="A39" s="1" t="s">
        <v>8</v>
      </c>
      <c r="B39" s="1" t="s">
        <v>63</v>
      </c>
      <c r="C39" s="1" t="s">
        <v>57</v>
      </c>
      <c r="D39" s="1">
        <v>75443</v>
      </c>
      <c r="E39" s="1">
        <v>7</v>
      </c>
    </row>
    <row r="40" spans="1:5" ht="14.25" customHeight="1" x14ac:dyDescent="0.25">
      <c r="A40" s="1" t="s">
        <v>40</v>
      </c>
      <c r="B40" s="1" t="s">
        <v>64</v>
      </c>
      <c r="C40" s="1" t="s">
        <v>57</v>
      </c>
      <c r="D40" s="1">
        <v>16999</v>
      </c>
      <c r="E40" s="1">
        <v>2</v>
      </c>
    </row>
    <row r="41" spans="1:5" ht="14.25" customHeight="1" x14ac:dyDescent="0.25">
      <c r="A41" s="1" t="s">
        <v>31</v>
      </c>
      <c r="B41" s="1" t="s">
        <v>65</v>
      </c>
      <c r="C41" s="1" t="s">
        <v>57</v>
      </c>
      <c r="D41" s="1">
        <v>82738</v>
      </c>
      <c r="E41" s="1">
        <v>5</v>
      </c>
    </row>
    <row r="42" spans="1:5" ht="14.25" customHeight="1" x14ac:dyDescent="0.25">
      <c r="A42" s="1" t="s">
        <v>66</v>
      </c>
      <c r="B42" s="1" t="s">
        <v>67</v>
      </c>
      <c r="C42" s="1" t="s">
        <v>57</v>
      </c>
      <c r="D42" s="1">
        <v>23096</v>
      </c>
      <c r="E42" s="1">
        <v>8</v>
      </c>
    </row>
    <row r="43" spans="1:5" ht="14.25" customHeight="1" x14ac:dyDescent="0.25">
      <c r="A43" s="1" t="s">
        <v>51</v>
      </c>
      <c r="B43" s="1" t="s">
        <v>39</v>
      </c>
      <c r="C43" s="1" t="s">
        <v>57</v>
      </c>
      <c r="D43" s="1">
        <v>87384</v>
      </c>
      <c r="E43" s="1">
        <v>5</v>
      </c>
    </row>
    <row r="44" spans="1:5" ht="14.25" customHeight="1" x14ac:dyDescent="0.25">
      <c r="A44" s="1" t="s">
        <v>31</v>
      </c>
      <c r="B44" s="1" t="s">
        <v>33</v>
      </c>
      <c r="C44" s="1" t="s">
        <v>57</v>
      </c>
      <c r="D44" s="1">
        <v>17823</v>
      </c>
      <c r="E44" s="1">
        <v>9</v>
      </c>
    </row>
    <row r="45" spans="1:5" ht="14.25" customHeight="1" x14ac:dyDescent="0.25">
      <c r="A45" s="1" t="s">
        <v>31</v>
      </c>
      <c r="B45" s="1" t="s">
        <v>68</v>
      </c>
      <c r="C45" s="1" t="s">
        <v>57</v>
      </c>
      <c r="D45" s="1">
        <v>37038</v>
      </c>
      <c r="E45" s="1">
        <v>5</v>
      </c>
    </row>
    <row r="46" spans="1:5" ht="14.25" customHeight="1" x14ac:dyDescent="0.25">
      <c r="A46" s="1" t="s">
        <v>5</v>
      </c>
      <c r="B46" s="1" t="s">
        <v>46</v>
      </c>
      <c r="C46" s="1" t="s">
        <v>57</v>
      </c>
      <c r="D46" s="1">
        <v>97653</v>
      </c>
      <c r="E46" s="1">
        <v>8</v>
      </c>
    </row>
    <row r="47" spans="1:5" ht="14.25" customHeight="1" x14ac:dyDescent="0.25">
      <c r="A47" s="1" t="s">
        <v>15</v>
      </c>
      <c r="B47" s="1" t="s">
        <v>69</v>
      </c>
      <c r="C47" s="1" t="s">
        <v>57</v>
      </c>
      <c r="D47" s="1">
        <v>97245</v>
      </c>
      <c r="E47" s="1">
        <v>6</v>
      </c>
    </row>
    <row r="48" spans="1:5" ht="14.25" customHeight="1" x14ac:dyDescent="0.25">
      <c r="A48" s="1" t="s">
        <v>23</v>
      </c>
      <c r="B48" s="1" t="s">
        <v>70</v>
      </c>
      <c r="C48" s="1" t="s">
        <v>71</v>
      </c>
      <c r="D48" s="1">
        <v>19328</v>
      </c>
      <c r="E48" s="1">
        <v>6</v>
      </c>
    </row>
    <row r="49" spans="1:5" ht="14.25" customHeight="1" x14ac:dyDescent="0.25">
      <c r="A49" s="1" t="s">
        <v>27</v>
      </c>
      <c r="B49" s="1" t="s">
        <v>72</v>
      </c>
      <c r="C49" s="1" t="s">
        <v>71</v>
      </c>
      <c r="D49" s="1">
        <v>49624</v>
      </c>
      <c r="E49" s="1">
        <v>5</v>
      </c>
    </row>
    <row r="50" spans="1:5" ht="14.25" customHeight="1" x14ac:dyDescent="0.25">
      <c r="A50" s="1" t="s">
        <v>10</v>
      </c>
      <c r="B50" s="1" t="s">
        <v>59</v>
      </c>
      <c r="C50" s="1" t="s">
        <v>71</v>
      </c>
      <c r="D50" s="1">
        <v>82224</v>
      </c>
      <c r="E50" s="1">
        <v>10</v>
      </c>
    </row>
    <row r="51" spans="1:5" ht="14.25" customHeight="1" x14ac:dyDescent="0.25">
      <c r="A51" s="1" t="s">
        <v>5</v>
      </c>
      <c r="B51" s="1" t="s">
        <v>69</v>
      </c>
      <c r="C51" s="1" t="s">
        <v>73</v>
      </c>
      <c r="D51" s="1">
        <v>40180</v>
      </c>
      <c r="E51" s="1">
        <v>7</v>
      </c>
    </row>
    <row r="52" spans="1:5" ht="14.25" customHeight="1" x14ac:dyDescent="0.25">
      <c r="A52" s="1" t="s">
        <v>8</v>
      </c>
      <c r="B52" s="1" t="s">
        <v>74</v>
      </c>
      <c r="C52" s="1" t="s">
        <v>75</v>
      </c>
      <c r="D52" s="1">
        <v>37576</v>
      </c>
      <c r="E52" s="1">
        <v>7</v>
      </c>
    </row>
    <row r="53" spans="1:5" ht="14.25" customHeight="1" x14ac:dyDescent="0.25">
      <c r="A53" s="1" t="s">
        <v>13</v>
      </c>
      <c r="B53" s="1" t="s">
        <v>52</v>
      </c>
      <c r="C53" s="1" t="s">
        <v>75</v>
      </c>
      <c r="D53" s="1">
        <v>19310</v>
      </c>
      <c r="E53" s="1">
        <v>6</v>
      </c>
    </row>
    <row r="54" spans="1:5" ht="14.25" customHeight="1" x14ac:dyDescent="0.25">
      <c r="A54" s="1" t="s">
        <v>76</v>
      </c>
      <c r="B54" s="1" t="s">
        <v>77</v>
      </c>
      <c r="C54" s="1" t="s">
        <v>75</v>
      </c>
      <c r="D54" s="1">
        <v>28718</v>
      </c>
      <c r="E54" s="1">
        <v>3</v>
      </c>
    </row>
    <row r="55" spans="1:5" ht="14.25" customHeight="1" x14ac:dyDescent="0.25">
      <c r="A55" s="1" t="s">
        <v>31</v>
      </c>
      <c r="B55" s="1" t="s">
        <v>78</v>
      </c>
      <c r="C55" s="1" t="s">
        <v>75</v>
      </c>
      <c r="D55" s="1">
        <v>66846</v>
      </c>
      <c r="E55" s="1">
        <v>0</v>
      </c>
    </row>
    <row r="56" spans="1:5" ht="14.25" customHeight="1" x14ac:dyDescent="0.25">
      <c r="A56" s="1" t="s">
        <v>5</v>
      </c>
      <c r="B56" s="1" t="s">
        <v>79</v>
      </c>
      <c r="C56" s="1" t="s">
        <v>75</v>
      </c>
      <c r="D56" s="1">
        <v>93722</v>
      </c>
      <c r="E56" s="1">
        <v>6</v>
      </c>
    </row>
    <row r="57" spans="1:5" ht="14.25" customHeight="1" x14ac:dyDescent="0.25">
      <c r="A57" s="1" t="s">
        <v>40</v>
      </c>
      <c r="B57" s="1" t="s">
        <v>80</v>
      </c>
      <c r="C57" s="1" t="s">
        <v>81</v>
      </c>
      <c r="D57" s="1">
        <v>44203</v>
      </c>
      <c r="E57" s="1">
        <v>6</v>
      </c>
    </row>
    <row r="58" spans="1:5" ht="14.25" customHeight="1" x14ac:dyDescent="0.25">
      <c r="A58" s="1" t="s">
        <v>40</v>
      </c>
      <c r="B58" s="1" t="s">
        <v>82</v>
      </c>
      <c r="C58" s="1" t="s">
        <v>81</v>
      </c>
      <c r="D58" s="1">
        <v>20800</v>
      </c>
      <c r="E58" s="1">
        <v>7</v>
      </c>
    </row>
    <row r="59" spans="1:5" ht="14.25" customHeight="1" x14ac:dyDescent="0.25">
      <c r="A59" s="1" t="s">
        <v>27</v>
      </c>
      <c r="B59" s="1" t="s">
        <v>83</v>
      </c>
      <c r="C59" s="1" t="s">
        <v>84</v>
      </c>
      <c r="D59" s="1">
        <v>84223</v>
      </c>
      <c r="E59" s="1">
        <v>8</v>
      </c>
    </row>
    <row r="60" spans="1:5" ht="14.25" customHeight="1" x14ac:dyDescent="0.25">
      <c r="A60" s="1" t="s">
        <v>76</v>
      </c>
      <c r="B60" s="1" t="s">
        <v>85</v>
      </c>
      <c r="C60" s="1" t="s">
        <v>84</v>
      </c>
      <c r="D60" s="1">
        <v>64891</v>
      </c>
      <c r="E60" s="1">
        <v>9</v>
      </c>
    </row>
    <row r="61" spans="1:5" ht="14.25" customHeight="1" x14ac:dyDescent="0.25">
      <c r="A61" s="1" t="s">
        <v>13</v>
      </c>
      <c r="B61" s="1" t="s">
        <v>86</v>
      </c>
      <c r="C61" s="1" t="s">
        <v>84</v>
      </c>
      <c r="D61" s="1">
        <v>56636</v>
      </c>
      <c r="E61" s="1">
        <v>9</v>
      </c>
    </row>
    <row r="62" spans="1:5" ht="14.25" customHeight="1" x14ac:dyDescent="0.25">
      <c r="A62" s="1" t="s">
        <v>76</v>
      </c>
      <c r="B62" s="1" t="s">
        <v>87</v>
      </c>
      <c r="C62" s="1" t="s">
        <v>84</v>
      </c>
      <c r="D62" s="1">
        <v>50387</v>
      </c>
      <c r="E62" s="1">
        <v>8</v>
      </c>
    </row>
    <row r="63" spans="1:5" ht="14.25" customHeight="1" x14ac:dyDescent="0.25">
      <c r="A63" s="1" t="s">
        <v>31</v>
      </c>
      <c r="B63" s="1" t="s">
        <v>88</v>
      </c>
      <c r="C63" s="1" t="s">
        <v>84</v>
      </c>
      <c r="D63" s="1">
        <v>36434</v>
      </c>
      <c r="E63" s="1">
        <v>6</v>
      </c>
    </row>
    <row r="64" spans="1:5" ht="14.25" customHeight="1" x14ac:dyDescent="0.25">
      <c r="A64" s="1" t="s">
        <v>66</v>
      </c>
      <c r="B64" s="1" t="s">
        <v>83</v>
      </c>
      <c r="C64" s="1" t="s">
        <v>84</v>
      </c>
      <c r="D64" s="1">
        <v>89341</v>
      </c>
      <c r="E64" s="1">
        <v>4</v>
      </c>
    </row>
    <row r="65" spans="1:5" ht="14.25" customHeight="1" x14ac:dyDescent="0.25">
      <c r="A65" s="1" t="s">
        <v>27</v>
      </c>
      <c r="B65" s="1" t="s">
        <v>89</v>
      </c>
      <c r="C65" s="1" t="s">
        <v>84</v>
      </c>
      <c r="D65" s="1">
        <v>33653</v>
      </c>
      <c r="E65" s="1">
        <v>8</v>
      </c>
    </row>
    <row r="66" spans="1:5" ht="14.25" customHeight="1" x14ac:dyDescent="0.25">
      <c r="A66" s="1" t="s">
        <v>27</v>
      </c>
      <c r="B66" s="1" t="s">
        <v>90</v>
      </c>
      <c r="C66" s="1" t="s">
        <v>84</v>
      </c>
      <c r="D66" s="1">
        <v>79939</v>
      </c>
      <c r="E66" s="1">
        <v>4</v>
      </c>
    </row>
    <row r="67" spans="1:5" ht="14.25" customHeight="1" x14ac:dyDescent="0.25">
      <c r="A67" s="1" t="s">
        <v>27</v>
      </c>
      <c r="B67" s="1" t="s">
        <v>91</v>
      </c>
      <c r="C67" s="1" t="s">
        <v>84</v>
      </c>
      <c r="D67" s="1">
        <v>97973</v>
      </c>
      <c r="E67" s="1">
        <v>7</v>
      </c>
    </row>
    <row r="68" spans="1:5" ht="14.25" customHeight="1" x14ac:dyDescent="0.25">
      <c r="A68" s="1" t="s">
        <v>76</v>
      </c>
      <c r="B68" s="1" t="s">
        <v>70</v>
      </c>
      <c r="C68" s="1" t="s">
        <v>84</v>
      </c>
      <c r="D68" s="1">
        <v>50783</v>
      </c>
      <c r="E68" s="1">
        <v>5</v>
      </c>
    </row>
    <row r="69" spans="1:5" ht="14.25" customHeight="1" x14ac:dyDescent="0.25">
      <c r="A69" s="1" t="s">
        <v>13</v>
      </c>
      <c r="B69" s="1" t="s">
        <v>92</v>
      </c>
      <c r="C69" s="1" t="s">
        <v>93</v>
      </c>
      <c r="D69" s="1">
        <v>17112</v>
      </c>
      <c r="E69" s="1">
        <v>9</v>
      </c>
    </row>
    <row r="70" spans="1:5" ht="14.25" customHeight="1" x14ac:dyDescent="0.25">
      <c r="A70" s="1" t="s">
        <v>10</v>
      </c>
      <c r="B70" s="1" t="s">
        <v>94</v>
      </c>
      <c r="C70" s="1" t="s">
        <v>93</v>
      </c>
      <c r="D70" s="1">
        <v>82276</v>
      </c>
      <c r="E70" s="1">
        <v>3</v>
      </c>
    </row>
    <row r="71" spans="1:5" ht="14.25" customHeight="1" x14ac:dyDescent="0.25">
      <c r="A71" s="1" t="s">
        <v>27</v>
      </c>
      <c r="B71" s="1" t="s">
        <v>49</v>
      </c>
      <c r="C71" s="1" t="s">
        <v>95</v>
      </c>
      <c r="D71" s="1">
        <v>64649</v>
      </c>
      <c r="E71" s="1">
        <v>6</v>
      </c>
    </row>
    <row r="72" spans="1:5" ht="14.25" customHeight="1" x14ac:dyDescent="0.25">
      <c r="A72" s="1" t="s">
        <v>76</v>
      </c>
      <c r="B72" s="1" t="s">
        <v>96</v>
      </c>
      <c r="C72" s="1" t="s">
        <v>97</v>
      </c>
      <c r="D72" s="1">
        <v>22254</v>
      </c>
      <c r="E72" s="1">
        <v>3</v>
      </c>
    </row>
    <row r="73" spans="1:5" ht="14.25" customHeight="1" x14ac:dyDescent="0.25">
      <c r="A73" s="1" t="s">
        <v>27</v>
      </c>
      <c r="B73" s="1" t="s">
        <v>98</v>
      </c>
      <c r="C73" s="1" t="s">
        <v>97</v>
      </c>
      <c r="D73" s="1">
        <v>75555</v>
      </c>
      <c r="E73" s="1">
        <v>6</v>
      </c>
    </row>
    <row r="74" spans="1:5" ht="14.25" customHeight="1" x14ac:dyDescent="0.25">
      <c r="A74" s="1" t="s">
        <v>66</v>
      </c>
      <c r="B74" s="1" t="s">
        <v>78</v>
      </c>
      <c r="C74" s="1" t="s">
        <v>97</v>
      </c>
      <c r="D74" s="1">
        <v>98633</v>
      </c>
      <c r="E74" s="1">
        <v>7</v>
      </c>
    </row>
    <row r="75" spans="1:5" ht="14.25" customHeight="1" x14ac:dyDescent="0.25">
      <c r="A75" s="1" t="s">
        <v>13</v>
      </c>
      <c r="B75" s="1" t="s">
        <v>21</v>
      </c>
      <c r="C75" s="1" t="s">
        <v>97</v>
      </c>
      <c r="D75" s="1">
        <v>53860</v>
      </c>
      <c r="E75" s="1">
        <v>8</v>
      </c>
    </row>
    <row r="76" spans="1:5" ht="14.25" customHeight="1" x14ac:dyDescent="0.25">
      <c r="A76" s="1" t="s">
        <v>31</v>
      </c>
      <c r="B76" s="1" t="s">
        <v>99</v>
      </c>
      <c r="C76" s="1" t="s">
        <v>97</v>
      </c>
      <c r="D76" s="1">
        <v>59562</v>
      </c>
      <c r="E76" s="1">
        <v>2</v>
      </c>
    </row>
    <row r="77" spans="1:5" ht="14.25" customHeight="1" x14ac:dyDescent="0.25">
      <c r="A77" s="1" t="s">
        <v>5</v>
      </c>
      <c r="B77" s="1" t="s">
        <v>100</v>
      </c>
      <c r="C77" s="1" t="s">
        <v>101</v>
      </c>
      <c r="D77" s="1">
        <v>57826</v>
      </c>
      <c r="E77" s="1">
        <v>10</v>
      </c>
    </row>
    <row r="78" spans="1:5" ht="14.25" customHeight="1" x14ac:dyDescent="0.25">
      <c r="A78" s="1" t="s">
        <v>5</v>
      </c>
      <c r="B78" s="1" t="s">
        <v>89</v>
      </c>
      <c r="C78" s="1" t="s">
        <v>101</v>
      </c>
      <c r="D78" s="1">
        <v>58615</v>
      </c>
      <c r="E78" s="1">
        <v>6</v>
      </c>
    </row>
    <row r="79" spans="1:5" ht="14.25" customHeight="1" x14ac:dyDescent="0.25">
      <c r="A79" s="1" t="s">
        <v>5</v>
      </c>
      <c r="B79" s="1" t="s">
        <v>102</v>
      </c>
      <c r="C79" s="1" t="s">
        <v>101</v>
      </c>
      <c r="D79" s="1">
        <v>80402</v>
      </c>
      <c r="E79" s="1">
        <v>3</v>
      </c>
    </row>
    <row r="80" spans="1:5" ht="14.25" customHeight="1" x14ac:dyDescent="0.25">
      <c r="A80" s="1" t="s">
        <v>8</v>
      </c>
      <c r="B80" s="1" t="s">
        <v>92</v>
      </c>
      <c r="C80" s="1" t="s">
        <v>103</v>
      </c>
      <c r="D80" s="1">
        <v>56141</v>
      </c>
      <c r="E80" s="1">
        <v>6</v>
      </c>
    </row>
    <row r="81" spans="1:5" ht="14.25" customHeight="1" x14ac:dyDescent="0.25">
      <c r="A81" s="1" t="s">
        <v>10</v>
      </c>
      <c r="B81" s="1" t="s">
        <v>64</v>
      </c>
      <c r="C81" s="1" t="s">
        <v>103</v>
      </c>
      <c r="D81" s="1">
        <v>64969</v>
      </c>
      <c r="E81" s="1">
        <v>2</v>
      </c>
    </row>
    <row r="82" spans="1:5" ht="14.25" customHeight="1" x14ac:dyDescent="0.25">
      <c r="A82" s="1" t="s">
        <v>13</v>
      </c>
      <c r="B82" s="1" t="s">
        <v>104</v>
      </c>
      <c r="C82" s="1" t="s">
        <v>103</v>
      </c>
      <c r="D82" s="1">
        <v>67724</v>
      </c>
      <c r="E82" s="1">
        <v>2</v>
      </c>
    </row>
    <row r="83" spans="1:5" ht="14.25" customHeight="1" x14ac:dyDescent="0.25">
      <c r="A83" s="1" t="s">
        <v>76</v>
      </c>
      <c r="B83" s="1" t="s">
        <v>32</v>
      </c>
      <c r="C83" s="1" t="s">
        <v>103</v>
      </c>
      <c r="D83" s="1">
        <v>37657</v>
      </c>
      <c r="E83" s="1">
        <v>7</v>
      </c>
    </row>
    <row r="84" spans="1:5" ht="14.25" customHeight="1" x14ac:dyDescent="0.25">
      <c r="A84" s="1" t="s">
        <v>10</v>
      </c>
      <c r="B84" s="1" t="s">
        <v>105</v>
      </c>
      <c r="C84" s="1" t="s">
        <v>103</v>
      </c>
      <c r="D84" s="1">
        <v>51981</v>
      </c>
      <c r="E84" s="1">
        <v>6</v>
      </c>
    </row>
    <row r="85" spans="1:5" ht="14.25" customHeight="1" x14ac:dyDescent="0.25">
      <c r="A85" s="1" t="s">
        <v>8</v>
      </c>
      <c r="B85" s="1" t="s">
        <v>106</v>
      </c>
      <c r="C85" s="1" t="s">
        <v>103</v>
      </c>
      <c r="D85" s="1">
        <v>49642</v>
      </c>
      <c r="E85" s="1">
        <v>2</v>
      </c>
    </row>
    <row r="86" spans="1:5" ht="14.25" customHeight="1" x14ac:dyDescent="0.25">
      <c r="A86" s="1" t="s">
        <v>66</v>
      </c>
      <c r="B86" s="1" t="s">
        <v>19</v>
      </c>
      <c r="C86" s="1" t="s">
        <v>103</v>
      </c>
      <c r="D86" s="1">
        <v>13467</v>
      </c>
      <c r="E86" s="1">
        <v>9</v>
      </c>
    </row>
    <row r="87" spans="1:5" ht="14.25" customHeight="1" x14ac:dyDescent="0.25">
      <c r="A87" s="1" t="s">
        <v>31</v>
      </c>
      <c r="B87" s="1" t="s">
        <v>19</v>
      </c>
      <c r="C87" s="1" t="s">
        <v>103</v>
      </c>
      <c r="D87" s="1">
        <v>46793</v>
      </c>
      <c r="E87" s="1">
        <v>8</v>
      </c>
    </row>
    <row r="88" spans="1:5" ht="14.25" customHeight="1" x14ac:dyDescent="0.25">
      <c r="A88" s="1" t="s">
        <v>10</v>
      </c>
      <c r="B88" s="1" t="s">
        <v>107</v>
      </c>
      <c r="C88" s="1" t="s">
        <v>108</v>
      </c>
      <c r="D88" s="1">
        <v>74458</v>
      </c>
      <c r="E88" s="1">
        <v>5</v>
      </c>
    </row>
    <row r="89" spans="1:5" ht="14.25" customHeight="1" x14ac:dyDescent="0.25">
      <c r="A89" s="1" t="s">
        <v>66</v>
      </c>
      <c r="B89" s="1" t="s">
        <v>82</v>
      </c>
      <c r="C89" s="1" t="s">
        <v>108</v>
      </c>
      <c r="D89" s="1">
        <v>83456</v>
      </c>
      <c r="E89" s="1">
        <v>6</v>
      </c>
    </row>
    <row r="90" spans="1:5" ht="14.25" customHeight="1" x14ac:dyDescent="0.25">
      <c r="A90" s="1" t="s">
        <v>40</v>
      </c>
      <c r="B90" s="1" t="s">
        <v>6</v>
      </c>
      <c r="C90" s="1" t="s">
        <v>108</v>
      </c>
      <c r="D90" s="1">
        <v>28504</v>
      </c>
      <c r="E90" s="1">
        <v>7</v>
      </c>
    </row>
    <row r="91" spans="1:5" ht="14.25" customHeight="1" x14ac:dyDescent="0.25">
      <c r="A91" s="1" t="s">
        <v>8</v>
      </c>
      <c r="B91" s="1" t="s">
        <v>107</v>
      </c>
      <c r="C91" s="1" t="s">
        <v>108</v>
      </c>
      <c r="D91" s="1">
        <v>10026</v>
      </c>
      <c r="E91" s="1">
        <v>4</v>
      </c>
    </row>
    <row r="92" spans="1:5" ht="14.25" customHeight="1" x14ac:dyDescent="0.25">
      <c r="A92" s="1" t="s">
        <v>27</v>
      </c>
      <c r="B92" s="1" t="s">
        <v>109</v>
      </c>
      <c r="C92" s="1" t="s">
        <v>108</v>
      </c>
      <c r="D92" s="1">
        <v>33612</v>
      </c>
      <c r="E92" s="1">
        <v>8</v>
      </c>
    </row>
    <row r="93" spans="1:5" ht="14.25" customHeight="1" x14ac:dyDescent="0.25">
      <c r="A93" s="1" t="s">
        <v>23</v>
      </c>
      <c r="B93" s="1" t="s">
        <v>110</v>
      </c>
      <c r="C93" s="1" t="s">
        <v>108</v>
      </c>
      <c r="D93" s="1">
        <v>99655</v>
      </c>
      <c r="E93" s="1">
        <v>6</v>
      </c>
    </row>
    <row r="94" spans="1:5" ht="14.25" customHeight="1" x14ac:dyDescent="0.25">
      <c r="A94" s="1" t="s">
        <v>10</v>
      </c>
      <c r="B94" s="1" t="s">
        <v>111</v>
      </c>
      <c r="C94" s="1" t="s">
        <v>112</v>
      </c>
      <c r="D94" s="1">
        <v>24657</v>
      </c>
      <c r="E94" s="1">
        <v>4</v>
      </c>
    </row>
    <row r="95" spans="1:5" ht="14.25" customHeight="1" x14ac:dyDescent="0.25">
      <c r="A95" s="1" t="s">
        <v>15</v>
      </c>
      <c r="B95" s="1" t="s">
        <v>113</v>
      </c>
      <c r="C95" s="1" t="s">
        <v>112</v>
      </c>
      <c r="D95" s="1">
        <v>45102</v>
      </c>
      <c r="E95" s="1">
        <v>5</v>
      </c>
    </row>
    <row r="96" spans="1:5" ht="14.25" customHeight="1" x14ac:dyDescent="0.25">
      <c r="A96" s="1" t="s">
        <v>31</v>
      </c>
      <c r="B96" s="1" t="s">
        <v>114</v>
      </c>
      <c r="C96" s="1" t="s">
        <v>112</v>
      </c>
      <c r="D96" s="1">
        <v>94063</v>
      </c>
      <c r="E96" s="1">
        <v>5</v>
      </c>
    </row>
    <row r="97" spans="1:5" ht="14.25" customHeight="1" x14ac:dyDescent="0.25">
      <c r="A97" s="1" t="s">
        <v>27</v>
      </c>
      <c r="B97" s="1" t="s">
        <v>115</v>
      </c>
      <c r="C97" s="1" t="s">
        <v>112</v>
      </c>
      <c r="D97" s="1">
        <v>92341</v>
      </c>
      <c r="E97" s="1">
        <v>10</v>
      </c>
    </row>
    <row r="98" spans="1:5" ht="14.25" customHeight="1" x14ac:dyDescent="0.25">
      <c r="A98" s="1" t="s">
        <v>40</v>
      </c>
      <c r="B98" s="1" t="s">
        <v>18</v>
      </c>
      <c r="C98" s="1" t="s">
        <v>112</v>
      </c>
      <c r="D98" s="1">
        <v>95130</v>
      </c>
      <c r="E98" s="1">
        <v>3</v>
      </c>
    </row>
    <row r="99" spans="1:5" ht="14.25" customHeight="1" x14ac:dyDescent="0.25">
      <c r="A99" s="1" t="s">
        <v>15</v>
      </c>
      <c r="B99" s="1" t="s">
        <v>116</v>
      </c>
      <c r="C99" s="1" t="s">
        <v>112</v>
      </c>
      <c r="D99" s="1">
        <v>43986</v>
      </c>
      <c r="E99" s="1">
        <v>8</v>
      </c>
    </row>
    <row r="100" spans="1:5" ht="14.25" customHeight="1" x14ac:dyDescent="0.25">
      <c r="A100" s="1" t="s">
        <v>76</v>
      </c>
      <c r="B100" s="1" t="s">
        <v>106</v>
      </c>
      <c r="C100" s="1" t="s">
        <v>112</v>
      </c>
      <c r="D100" s="1">
        <v>62045</v>
      </c>
      <c r="E100" s="1">
        <v>6</v>
      </c>
    </row>
    <row r="101" spans="1:5" ht="14.25" customHeight="1" x14ac:dyDescent="0.25">
      <c r="A101" s="1" t="s">
        <v>76</v>
      </c>
      <c r="B101" s="1" t="s">
        <v>117</v>
      </c>
      <c r="C101" s="1" t="s">
        <v>118</v>
      </c>
      <c r="D101" s="1">
        <v>36836</v>
      </c>
      <c r="E101" s="1">
        <v>7</v>
      </c>
    </row>
    <row r="102" spans="1:5" ht="14.25" customHeight="1" x14ac:dyDescent="0.25">
      <c r="A102" s="1" t="s">
        <v>10</v>
      </c>
      <c r="B102" s="1" t="s">
        <v>119</v>
      </c>
      <c r="C102" s="1" t="s">
        <v>120</v>
      </c>
      <c r="D102" s="1">
        <v>27852</v>
      </c>
      <c r="E102" s="1">
        <v>2</v>
      </c>
    </row>
    <row r="103" spans="1:5" ht="14.25" customHeight="1" x14ac:dyDescent="0.25">
      <c r="A103" s="1" t="s">
        <v>5</v>
      </c>
      <c r="B103" s="1" t="s">
        <v>121</v>
      </c>
      <c r="C103" s="1" t="s">
        <v>120</v>
      </c>
      <c r="D103" s="1">
        <v>56565</v>
      </c>
      <c r="E103" s="1">
        <v>7</v>
      </c>
    </row>
    <row r="104" spans="1:5" ht="14.25" customHeight="1" x14ac:dyDescent="0.25">
      <c r="A104" s="1" t="s">
        <v>10</v>
      </c>
      <c r="B104" s="1" t="s">
        <v>90</v>
      </c>
      <c r="C104" s="1" t="s">
        <v>120</v>
      </c>
      <c r="D104" s="1">
        <v>35968</v>
      </c>
      <c r="E104" s="1">
        <v>7</v>
      </c>
    </row>
    <row r="105" spans="1:5" ht="14.25" customHeight="1" x14ac:dyDescent="0.25">
      <c r="A105" s="1" t="s">
        <v>51</v>
      </c>
      <c r="B105" s="1" t="s">
        <v>69</v>
      </c>
      <c r="C105" s="1" t="s">
        <v>120</v>
      </c>
      <c r="D105" s="1">
        <v>61248</v>
      </c>
      <c r="E105" s="1">
        <v>5</v>
      </c>
    </row>
    <row r="106" spans="1:5" ht="14.25" customHeight="1" x14ac:dyDescent="0.25">
      <c r="A106" s="1" t="s">
        <v>8</v>
      </c>
      <c r="B106" s="1" t="s">
        <v>122</v>
      </c>
      <c r="C106" s="1" t="s">
        <v>120</v>
      </c>
      <c r="D106" s="1">
        <v>97876</v>
      </c>
      <c r="E106" s="1">
        <v>6</v>
      </c>
    </row>
    <row r="107" spans="1:5" ht="14.25" customHeight="1" x14ac:dyDescent="0.25">
      <c r="A107" s="1" t="s">
        <v>27</v>
      </c>
      <c r="B107" s="1" t="s">
        <v>123</v>
      </c>
      <c r="C107" s="1" t="s">
        <v>120</v>
      </c>
      <c r="D107" s="1">
        <v>57247</v>
      </c>
      <c r="E107" s="1">
        <v>3</v>
      </c>
    </row>
    <row r="108" spans="1:5" ht="14.25" customHeight="1" x14ac:dyDescent="0.25">
      <c r="A108" s="1" t="s">
        <v>40</v>
      </c>
      <c r="B108" s="1" t="s">
        <v>124</v>
      </c>
      <c r="C108" s="1" t="s">
        <v>120</v>
      </c>
      <c r="D108" s="1">
        <v>80258</v>
      </c>
      <c r="E108" s="1">
        <v>7</v>
      </c>
    </row>
    <row r="109" spans="1:5" ht="14.25" customHeight="1" x14ac:dyDescent="0.25">
      <c r="A109" s="1" t="s">
        <v>8</v>
      </c>
      <c r="B109" s="1" t="s">
        <v>125</v>
      </c>
      <c r="C109" s="1" t="s">
        <v>120</v>
      </c>
      <c r="D109" s="1">
        <v>96359</v>
      </c>
      <c r="E109" s="1">
        <v>5</v>
      </c>
    </row>
    <row r="110" spans="1:5" ht="14.25" customHeight="1" x14ac:dyDescent="0.25">
      <c r="A110" s="1" t="s">
        <v>31</v>
      </c>
      <c r="B110" s="1" t="s">
        <v>28</v>
      </c>
      <c r="C110" s="1" t="s">
        <v>120</v>
      </c>
      <c r="D110" s="1">
        <v>17943</v>
      </c>
      <c r="E110" s="1">
        <v>4</v>
      </c>
    </row>
    <row r="111" spans="1:5" ht="14.25" customHeight="1" x14ac:dyDescent="0.25">
      <c r="A111" s="1" t="s">
        <v>76</v>
      </c>
      <c r="B111" s="1" t="s">
        <v>126</v>
      </c>
      <c r="C111" s="1" t="s">
        <v>127</v>
      </c>
      <c r="D111" s="1">
        <v>26081</v>
      </c>
      <c r="E111" s="1">
        <v>9</v>
      </c>
    </row>
    <row r="112" spans="1:5" ht="14.25" customHeight="1" x14ac:dyDescent="0.25">
      <c r="A112" s="1" t="s">
        <v>51</v>
      </c>
      <c r="B112" s="1" t="s">
        <v>116</v>
      </c>
      <c r="C112" s="1" t="s">
        <v>127</v>
      </c>
      <c r="D112" s="1">
        <v>99869</v>
      </c>
      <c r="E112" s="1">
        <v>7</v>
      </c>
    </row>
    <row r="113" spans="1:5" ht="14.25" customHeight="1" x14ac:dyDescent="0.25">
      <c r="A113" s="1" t="s">
        <v>31</v>
      </c>
      <c r="B113" s="1" t="s">
        <v>96</v>
      </c>
      <c r="C113" s="1" t="s">
        <v>127</v>
      </c>
      <c r="D113" s="1">
        <v>90021</v>
      </c>
      <c r="E113" s="1">
        <v>7</v>
      </c>
    </row>
    <row r="114" spans="1:5" ht="14.25" customHeight="1" x14ac:dyDescent="0.25">
      <c r="A114" s="1" t="s">
        <v>51</v>
      </c>
      <c r="B114" s="1" t="s">
        <v>30</v>
      </c>
      <c r="C114" s="1" t="s">
        <v>128</v>
      </c>
      <c r="D114" s="1">
        <v>81491</v>
      </c>
      <c r="E114" s="1">
        <v>10</v>
      </c>
    </row>
    <row r="115" spans="1:5" ht="14.25" customHeight="1" x14ac:dyDescent="0.25">
      <c r="A115" s="1" t="s">
        <v>31</v>
      </c>
      <c r="B115" s="1" t="s">
        <v>60</v>
      </c>
      <c r="C115" s="1" t="s">
        <v>128</v>
      </c>
      <c r="D115" s="1">
        <v>33763</v>
      </c>
      <c r="E115" s="1">
        <v>7</v>
      </c>
    </row>
    <row r="116" spans="1:5" ht="14.25" customHeight="1" x14ac:dyDescent="0.25">
      <c r="A116" s="1" t="s">
        <v>23</v>
      </c>
      <c r="B116" s="1" t="s">
        <v>129</v>
      </c>
      <c r="C116" s="1" t="s">
        <v>128</v>
      </c>
      <c r="D116" s="1">
        <v>73934</v>
      </c>
      <c r="E116" s="1">
        <v>8</v>
      </c>
    </row>
    <row r="117" spans="1:5" ht="14.25" customHeight="1" x14ac:dyDescent="0.25">
      <c r="A117" s="1" t="s">
        <v>66</v>
      </c>
      <c r="B117" s="1" t="s">
        <v>130</v>
      </c>
      <c r="C117" s="1" t="s">
        <v>128</v>
      </c>
      <c r="D117" s="1">
        <v>42986</v>
      </c>
      <c r="E117" s="1">
        <v>7</v>
      </c>
    </row>
    <row r="118" spans="1:5" ht="14.25" customHeight="1" x14ac:dyDescent="0.25">
      <c r="A118" s="1" t="s">
        <v>15</v>
      </c>
      <c r="B118" s="1" t="s">
        <v>131</v>
      </c>
      <c r="C118" s="1" t="s">
        <v>128</v>
      </c>
      <c r="D118" s="1">
        <v>16352</v>
      </c>
      <c r="E118" s="1">
        <v>6</v>
      </c>
    </row>
    <row r="119" spans="1:5" ht="14.25" customHeight="1" x14ac:dyDescent="0.25">
      <c r="A119" s="1" t="s">
        <v>40</v>
      </c>
      <c r="B119" s="1" t="s">
        <v>41</v>
      </c>
      <c r="C119" s="1" t="s">
        <v>132</v>
      </c>
      <c r="D119" s="1">
        <v>93138</v>
      </c>
      <c r="E119" s="1">
        <v>8</v>
      </c>
    </row>
    <row r="120" spans="1:5" ht="14.25" customHeight="1" x14ac:dyDescent="0.25">
      <c r="A120" s="1" t="s">
        <v>31</v>
      </c>
      <c r="B120" s="1" t="s">
        <v>104</v>
      </c>
      <c r="C120" s="1" t="s">
        <v>132</v>
      </c>
      <c r="D120" s="1">
        <v>38338</v>
      </c>
      <c r="E120" s="1">
        <v>6</v>
      </c>
    </row>
    <row r="121" spans="1:5" ht="14.25" customHeight="1" x14ac:dyDescent="0.25">
      <c r="A121" s="1" t="s">
        <v>8</v>
      </c>
      <c r="B121" s="1" t="s">
        <v>133</v>
      </c>
      <c r="C121" s="1" t="s">
        <v>132</v>
      </c>
      <c r="D121" s="1">
        <v>13061</v>
      </c>
      <c r="E121" s="1">
        <v>6</v>
      </c>
    </row>
    <row r="122" spans="1:5" ht="14.25" customHeight="1" x14ac:dyDescent="0.25">
      <c r="A122" s="1" t="s">
        <v>51</v>
      </c>
      <c r="B122" s="1" t="s">
        <v>123</v>
      </c>
      <c r="C122" s="1" t="s">
        <v>132</v>
      </c>
      <c r="D122" s="1">
        <v>51107</v>
      </c>
      <c r="E122" s="1">
        <v>9</v>
      </c>
    </row>
    <row r="123" spans="1:5" ht="14.25" customHeight="1" x14ac:dyDescent="0.25">
      <c r="A123" s="1" t="s">
        <v>5</v>
      </c>
      <c r="B123" s="1" t="s">
        <v>134</v>
      </c>
      <c r="C123" s="1" t="s">
        <v>135</v>
      </c>
      <c r="D123" s="1">
        <v>46951</v>
      </c>
      <c r="E123" s="1">
        <v>7</v>
      </c>
    </row>
    <row r="124" spans="1:5" ht="14.25" customHeight="1" x14ac:dyDescent="0.25">
      <c r="A124" s="1" t="s">
        <v>31</v>
      </c>
      <c r="B124" s="1" t="s">
        <v>136</v>
      </c>
      <c r="C124" s="1" t="s">
        <v>135</v>
      </c>
      <c r="D124" s="1">
        <v>81634</v>
      </c>
      <c r="E124" s="1">
        <v>0</v>
      </c>
    </row>
    <row r="125" spans="1:5" ht="14.25" customHeight="1" x14ac:dyDescent="0.25">
      <c r="A125" s="1" t="s">
        <v>5</v>
      </c>
      <c r="B125" s="1" t="s">
        <v>88</v>
      </c>
      <c r="C125" s="1" t="s">
        <v>135</v>
      </c>
      <c r="D125" s="1">
        <v>55625</v>
      </c>
      <c r="E125" s="1">
        <v>6</v>
      </c>
    </row>
    <row r="126" spans="1:5" ht="14.25" customHeight="1" x14ac:dyDescent="0.25">
      <c r="A126" s="1" t="s">
        <v>8</v>
      </c>
      <c r="B126" s="1" t="s">
        <v>137</v>
      </c>
      <c r="C126" s="1" t="s">
        <v>138</v>
      </c>
      <c r="D126" s="1">
        <v>75372</v>
      </c>
      <c r="E126" s="1">
        <v>7</v>
      </c>
    </row>
    <row r="127" spans="1:5" ht="14.25" customHeight="1" x14ac:dyDescent="0.25">
      <c r="A127" s="1" t="s">
        <v>13</v>
      </c>
      <c r="B127" s="1" t="s">
        <v>139</v>
      </c>
      <c r="C127" s="1" t="s">
        <v>138</v>
      </c>
      <c r="D127" s="1">
        <v>87353</v>
      </c>
      <c r="E127" s="1">
        <v>8</v>
      </c>
    </row>
    <row r="128" spans="1:5" ht="14.25" customHeight="1" x14ac:dyDescent="0.25">
      <c r="A128" s="1" t="s">
        <v>66</v>
      </c>
      <c r="B128" s="1" t="s">
        <v>88</v>
      </c>
      <c r="C128" s="1" t="s">
        <v>138</v>
      </c>
      <c r="D128" s="1">
        <v>69941</v>
      </c>
      <c r="E128" s="1">
        <v>3</v>
      </c>
    </row>
    <row r="129" spans="1:5" ht="14.25" customHeight="1" x14ac:dyDescent="0.25">
      <c r="A129" s="1" t="s">
        <v>8</v>
      </c>
      <c r="B129" s="1" t="s">
        <v>133</v>
      </c>
      <c r="C129" s="1" t="s">
        <v>138</v>
      </c>
      <c r="D129" s="1">
        <v>24525</v>
      </c>
      <c r="E129" s="1">
        <v>5</v>
      </c>
    </row>
    <row r="130" spans="1:5" ht="14.25" customHeight="1" x14ac:dyDescent="0.25">
      <c r="A130" s="1" t="s">
        <v>23</v>
      </c>
      <c r="B130" s="1" t="s">
        <v>78</v>
      </c>
      <c r="C130" s="1" t="s">
        <v>138</v>
      </c>
      <c r="D130" s="1">
        <v>49793</v>
      </c>
      <c r="E130" s="1">
        <v>6</v>
      </c>
    </row>
    <row r="131" spans="1:5" ht="14.25" customHeight="1" x14ac:dyDescent="0.25">
      <c r="A131" s="1" t="s">
        <v>76</v>
      </c>
      <c r="B131" s="1" t="s">
        <v>140</v>
      </c>
      <c r="C131" s="1" t="s">
        <v>138</v>
      </c>
      <c r="D131" s="1">
        <v>88207</v>
      </c>
      <c r="E131" s="1">
        <v>5</v>
      </c>
    </row>
    <row r="132" spans="1:5" ht="14.25" customHeight="1" x14ac:dyDescent="0.25">
      <c r="A132" s="1" t="s">
        <v>31</v>
      </c>
      <c r="B132" s="1" t="s">
        <v>11</v>
      </c>
      <c r="C132" s="1" t="s">
        <v>138</v>
      </c>
      <c r="D132" s="1">
        <v>14230</v>
      </c>
      <c r="E132" s="1">
        <v>5</v>
      </c>
    </row>
    <row r="133" spans="1:5" ht="14.25" customHeight="1" x14ac:dyDescent="0.25">
      <c r="A133" s="1" t="s">
        <v>5</v>
      </c>
      <c r="B133" s="1" t="s">
        <v>105</v>
      </c>
      <c r="C133" s="1" t="s">
        <v>138</v>
      </c>
      <c r="D133" s="1">
        <v>38158</v>
      </c>
      <c r="E133" s="1">
        <v>6</v>
      </c>
    </row>
    <row r="134" spans="1:5" ht="14.25" customHeight="1" x14ac:dyDescent="0.25">
      <c r="A134" s="1" t="s">
        <v>23</v>
      </c>
      <c r="B134" s="1" t="s">
        <v>102</v>
      </c>
      <c r="C134" s="1" t="s">
        <v>138</v>
      </c>
      <c r="D134" s="1">
        <v>94870</v>
      </c>
      <c r="E134" s="1">
        <v>6</v>
      </c>
    </row>
    <row r="135" spans="1:5" ht="14.25" customHeight="1" x14ac:dyDescent="0.25">
      <c r="A135" s="1" t="s">
        <v>10</v>
      </c>
      <c r="B135" s="1" t="s">
        <v>99</v>
      </c>
      <c r="C135" s="1" t="s">
        <v>138</v>
      </c>
      <c r="D135" s="1">
        <v>70360</v>
      </c>
      <c r="E135" s="1">
        <v>7</v>
      </c>
    </row>
    <row r="136" spans="1:5" ht="14.25" customHeight="1" x14ac:dyDescent="0.25">
      <c r="A136" s="1" t="s">
        <v>51</v>
      </c>
      <c r="B136" s="1" t="s">
        <v>92</v>
      </c>
      <c r="C136" s="1" t="s">
        <v>141</v>
      </c>
      <c r="D136" s="1">
        <v>57980</v>
      </c>
      <c r="E136" s="1">
        <v>5</v>
      </c>
    </row>
    <row r="137" spans="1:5" ht="14.25" customHeight="1" x14ac:dyDescent="0.25">
      <c r="A137" s="1" t="s">
        <v>51</v>
      </c>
      <c r="B137" s="1" t="s">
        <v>142</v>
      </c>
      <c r="C137" s="1" t="s">
        <v>141</v>
      </c>
      <c r="D137" s="1">
        <v>90878</v>
      </c>
      <c r="E137" s="1">
        <v>9</v>
      </c>
    </row>
    <row r="138" spans="1:5" ht="14.25" customHeight="1" x14ac:dyDescent="0.25">
      <c r="A138" s="1" t="s">
        <v>5</v>
      </c>
      <c r="B138" s="1" t="s">
        <v>143</v>
      </c>
      <c r="C138" s="1" t="s">
        <v>141</v>
      </c>
      <c r="D138" s="1">
        <v>33770</v>
      </c>
      <c r="E138" s="1">
        <v>7</v>
      </c>
    </row>
    <row r="139" spans="1:5" ht="14.25" customHeight="1" x14ac:dyDescent="0.25">
      <c r="A139" s="1" t="s">
        <v>27</v>
      </c>
      <c r="B139" s="1" t="s">
        <v>144</v>
      </c>
      <c r="C139" s="1" t="s">
        <v>145</v>
      </c>
      <c r="D139" s="1">
        <v>26576</v>
      </c>
      <c r="E139" s="1">
        <v>7</v>
      </c>
    </row>
    <row r="140" spans="1:5" ht="14.25" customHeight="1" x14ac:dyDescent="0.25">
      <c r="A140" s="1" t="s">
        <v>23</v>
      </c>
      <c r="B140" s="1" t="s">
        <v>69</v>
      </c>
      <c r="C140" s="1" t="s">
        <v>145</v>
      </c>
      <c r="D140" s="1">
        <v>27875</v>
      </c>
      <c r="E140" s="1">
        <v>8</v>
      </c>
    </row>
    <row r="141" spans="1:5" ht="14.25" customHeight="1" x14ac:dyDescent="0.25">
      <c r="A141" s="1" t="s">
        <v>27</v>
      </c>
      <c r="B141" s="1" t="s">
        <v>80</v>
      </c>
      <c r="C141" s="1" t="s">
        <v>145</v>
      </c>
      <c r="D141" s="1">
        <v>92017</v>
      </c>
      <c r="E141" s="1">
        <v>5</v>
      </c>
    </row>
    <row r="142" spans="1:5" ht="14.25" customHeight="1" x14ac:dyDescent="0.25">
      <c r="A142" s="1" t="s">
        <v>13</v>
      </c>
      <c r="B142" s="1" t="s">
        <v>104</v>
      </c>
      <c r="C142" s="1" t="s">
        <v>145</v>
      </c>
      <c r="D142" s="1">
        <v>66246</v>
      </c>
      <c r="E142" s="1">
        <v>7</v>
      </c>
    </row>
    <row r="143" spans="1:5" ht="14.25" customHeight="1" x14ac:dyDescent="0.25">
      <c r="A143" s="1" t="s">
        <v>66</v>
      </c>
      <c r="B143" s="1" t="s">
        <v>146</v>
      </c>
      <c r="C143" s="1" t="s">
        <v>147</v>
      </c>
      <c r="D143" s="1">
        <v>47411</v>
      </c>
      <c r="E143" s="1">
        <v>8</v>
      </c>
    </row>
    <row r="144" spans="1:5" ht="14.25" customHeight="1" x14ac:dyDescent="0.25">
      <c r="A144" s="1" t="s">
        <v>40</v>
      </c>
      <c r="B144" s="1" t="s">
        <v>148</v>
      </c>
      <c r="C144" s="1" t="s">
        <v>147</v>
      </c>
      <c r="D144" s="1">
        <v>77754</v>
      </c>
      <c r="E144" s="1">
        <v>10</v>
      </c>
    </row>
    <row r="145" spans="1:5" ht="14.25" customHeight="1" x14ac:dyDescent="0.25">
      <c r="A145" s="1" t="s">
        <v>31</v>
      </c>
      <c r="B145" s="1" t="s">
        <v>113</v>
      </c>
      <c r="C145" s="1" t="s">
        <v>149</v>
      </c>
      <c r="D145" s="1">
        <v>21697</v>
      </c>
      <c r="E145" s="1">
        <v>8</v>
      </c>
    </row>
    <row r="146" spans="1:5" ht="14.25" customHeight="1" x14ac:dyDescent="0.25">
      <c r="A146" s="1" t="s">
        <v>13</v>
      </c>
      <c r="B146" s="1" t="s">
        <v>24</v>
      </c>
      <c r="C146" s="1" t="s">
        <v>149</v>
      </c>
      <c r="D146" s="1">
        <v>93071</v>
      </c>
      <c r="E146" s="1">
        <v>3</v>
      </c>
    </row>
    <row r="147" spans="1:5" ht="14.25" customHeight="1" x14ac:dyDescent="0.25">
      <c r="A147" s="1" t="s">
        <v>10</v>
      </c>
      <c r="B147" s="1" t="s">
        <v>129</v>
      </c>
      <c r="C147" s="1" t="s">
        <v>149</v>
      </c>
      <c r="D147" s="1">
        <v>33671</v>
      </c>
      <c r="E147" s="1">
        <v>3</v>
      </c>
    </row>
    <row r="148" spans="1:5" ht="14.25" customHeight="1" x14ac:dyDescent="0.25">
      <c r="A148" s="1" t="s">
        <v>66</v>
      </c>
      <c r="B148" s="1" t="s">
        <v>119</v>
      </c>
      <c r="C148" s="1" t="s">
        <v>150</v>
      </c>
      <c r="D148" s="1">
        <v>97759</v>
      </c>
      <c r="E148" s="1">
        <v>8</v>
      </c>
    </row>
    <row r="149" spans="1:5" ht="14.25" customHeight="1" x14ac:dyDescent="0.25">
      <c r="A149" s="1" t="s">
        <v>15</v>
      </c>
      <c r="B149" s="1" t="s">
        <v>151</v>
      </c>
      <c r="C149" s="1" t="s">
        <v>150</v>
      </c>
      <c r="D149" s="1">
        <v>52717</v>
      </c>
      <c r="E149" s="1">
        <v>6</v>
      </c>
    </row>
    <row r="150" spans="1:5" ht="14.25" customHeight="1" x14ac:dyDescent="0.25">
      <c r="A150" s="1" t="s">
        <v>66</v>
      </c>
      <c r="B150" s="1" t="s">
        <v>148</v>
      </c>
      <c r="C150" s="1" t="s">
        <v>150</v>
      </c>
      <c r="D150" s="1">
        <v>61589</v>
      </c>
      <c r="E150" s="1">
        <v>7</v>
      </c>
    </row>
    <row r="151" spans="1:5" ht="14.25" customHeight="1" x14ac:dyDescent="0.25">
      <c r="A151" s="1" t="s">
        <v>5</v>
      </c>
      <c r="B151" s="1" t="s">
        <v>152</v>
      </c>
      <c r="C151" s="1" t="s">
        <v>150</v>
      </c>
      <c r="D151" s="1">
        <v>65590</v>
      </c>
      <c r="E151" s="1">
        <v>5</v>
      </c>
    </row>
    <row r="152" spans="1:5" ht="14.25" customHeight="1" x14ac:dyDescent="0.25">
      <c r="A152" s="1" t="s">
        <v>15</v>
      </c>
      <c r="B152" s="1" t="s">
        <v>21</v>
      </c>
      <c r="C152" s="1" t="s">
        <v>150</v>
      </c>
      <c r="D152" s="1">
        <v>15679</v>
      </c>
      <c r="E152" s="1">
        <v>5</v>
      </c>
    </row>
    <row r="153" spans="1:5" ht="14.25" customHeight="1" x14ac:dyDescent="0.25">
      <c r="A153" s="1" t="s">
        <v>66</v>
      </c>
      <c r="B153" s="1" t="s">
        <v>37</v>
      </c>
      <c r="C153" s="1" t="s">
        <v>153</v>
      </c>
      <c r="D153" s="1">
        <v>17684</v>
      </c>
      <c r="E153" s="1">
        <v>9</v>
      </c>
    </row>
    <row r="154" spans="1:5" ht="14.25" customHeight="1" x14ac:dyDescent="0.25">
      <c r="A154" s="1" t="s">
        <v>40</v>
      </c>
      <c r="B154" s="1" t="s">
        <v>116</v>
      </c>
      <c r="C154" s="1" t="s">
        <v>154</v>
      </c>
      <c r="D154" s="1">
        <v>43311</v>
      </c>
      <c r="E154" s="1">
        <v>5</v>
      </c>
    </row>
    <row r="155" spans="1:5" ht="14.25" customHeight="1" x14ac:dyDescent="0.25">
      <c r="A155" s="1" t="s">
        <v>15</v>
      </c>
      <c r="B155" s="1" t="s">
        <v>155</v>
      </c>
      <c r="C155" s="1" t="s">
        <v>154</v>
      </c>
      <c r="D155" s="1">
        <v>68274</v>
      </c>
      <c r="E155" s="1">
        <v>10</v>
      </c>
    </row>
    <row r="156" spans="1:5" ht="14.25" customHeight="1" x14ac:dyDescent="0.25">
      <c r="A156" s="1" t="s">
        <v>76</v>
      </c>
      <c r="B156" s="1" t="s">
        <v>133</v>
      </c>
      <c r="C156" s="1" t="s">
        <v>156</v>
      </c>
      <c r="D156" s="1">
        <v>56081</v>
      </c>
      <c r="E156" s="1">
        <v>6</v>
      </c>
    </row>
    <row r="157" spans="1:5" ht="14.25" customHeight="1" x14ac:dyDescent="0.25">
      <c r="A157" s="1" t="s">
        <v>5</v>
      </c>
      <c r="B157" s="1" t="s">
        <v>33</v>
      </c>
      <c r="C157" s="1" t="s">
        <v>156</v>
      </c>
      <c r="D157" s="1">
        <v>25935</v>
      </c>
      <c r="E157" s="1">
        <v>8</v>
      </c>
    </row>
    <row r="158" spans="1:5" ht="14.25" customHeight="1" x14ac:dyDescent="0.25">
      <c r="A158" s="1" t="s">
        <v>76</v>
      </c>
      <c r="B158" s="1" t="s">
        <v>157</v>
      </c>
      <c r="C158" s="1" t="s">
        <v>156</v>
      </c>
      <c r="D158" s="1">
        <v>47549</v>
      </c>
      <c r="E158" s="1">
        <v>2</v>
      </c>
    </row>
    <row r="159" spans="1:5" ht="14.25" customHeight="1" x14ac:dyDescent="0.25">
      <c r="A159" s="1" t="s">
        <v>15</v>
      </c>
      <c r="B159" s="1" t="s">
        <v>158</v>
      </c>
      <c r="C159" s="1" t="s">
        <v>159</v>
      </c>
      <c r="D159" s="1">
        <v>53639</v>
      </c>
      <c r="E159" s="1">
        <v>8</v>
      </c>
    </row>
    <row r="160" spans="1:5" ht="14.25" customHeight="1" x14ac:dyDescent="0.25">
      <c r="A160" s="1" t="s">
        <v>76</v>
      </c>
      <c r="B160" s="1" t="s">
        <v>160</v>
      </c>
      <c r="C160" s="1" t="s">
        <v>159</v>
      </c>
      <c r="D160" s="1">
        <v>52809</v>
      </c>
      <c r="E160" s="1">
        <v>10</v>
      </c>
    </row>
    <row r="161" spans="1:5" ht="14.25" customHeight="1" x14ac:dyDescent="0.25">
      <c r="A161" s="1" t="s">
        <v>31</v>
      </c>
      <c r="B161" s="1" t="s">
        <v>6</v>
      </c>
      <c r="C161" s="1" t="s">
        <v>159</v>
      </c>
      <c r="D161" s="1">
        <v>88818</v>
      </c>
      <c r="E161" s="1">
        <v>5</v>
      </c>
    </row>
    <row r="162" spans="1:5" ht="14.25" customHeight="1" x14ac:dyDescent="0.25">
      <c r="A162" s="1" t="s">
        <v>13</v>
      </c>
      <c r="B162" s="1" t="s">
        <v>105</v>
      </c>
      <c r="C162" s="1" t="s">
        <v>159</v>
      </c>
      <c r="D162" s="1">
        <v>88275</v>
      </c>
      <c r="E162" s="1">
        <v>7</v>
      </c>
    </row>
    <row r="163" spans="1:5" ht="14.25" customHeight="1" x14ac:dyDescent="0.25">
      <c r="A163" s="1" t="s">
        <v>13</v>
      </c>
      <c r="B163" s="1" t="s">
        <v>134</v>
      </c>
      <c r="C163" s="1" t="s">
        <v>159</v>
      </c>
      <c r="D163" s="1">
        <v>87808</v>
      </c>
      <c r="E163" s="1">
        <v>7</v>
      </c>
    </row>
    <row r="164" spans="1:5" ht="14.25" customHeight="1" x14ac:dyDescent="0.25">
      <c r="A164" s="1" t="s">
        <v>51</v>
      </c>
      <c r="B164" s="1" t="s">
        <v>161</v>
      </c>
      <c r="C164" s="1" t="s">
        <v>159</v>
      </c>
      <c r="D164" s="1">
        <v>10468</v>
      </c>
      <c r="E164" s="1">
        <v>3</v>
      </c>
    </row>
    <row r="165" spans="1:5" ht="14.25" customHeight="1" x14ac:dyDescent="0.25">
      <c r="A165" s="1" t="s">
        <v>31</v>
      </c>
      <c r="B165" s="1" t="s">
        <v>162</v>
      </c>
      <c r="C165" s="1" t="s">
        <v>159</v>
      </c>
      <c r="D165" s="1">
        <v>39515</v>
      </c>
      <c r="E165" s="1">
        <v>7</v>
      </c>
    </row>
    <row r="166" spans="1:5" ht="14.25" customHeight="1" x14ac:dyDescent="0.25">
      <c r="A166" s="1" t="s">
        <v>13</v>
      </c>
      <c r="B166" s="1" t="s">
        <v>88</v>
      </c>
      <c r="C166" s="1" t="s">
        <v>159</v>
      </c>
      <c r="D166" s="1">
        <v>64756</v>
      </c>
      <c r="E166" s="1">
        <v>5</v>
      </c>
    </row>
    <row r="167" spans="1:5" ht="14.25" customHeight="1" x14ac:dyDescent="0.25">
      <c r="A167" s="1" t="s">
        <v>15</v>
      </c>
      <c r="B167" s="1" t="s">
        <v>163</v>
      </c>
      <c r="C167" s="1" t="s">
        <v>164</v>
      </c>
      <c r="D167" s="1">
        <v>51443</v>
      </c>
      <c r="E167" s="1">
        <v>2</v>
      </c>
    </row>
    <row r="168" spans="1:5" ht="14.25" customHeight="1" x14ac:dyDescent="0.25">
      <c r="A168" s="1" t="s">
        <v>5</v>
      </c>
      <c r="B168" s="1" t="s">
        <v>109</v>
      </c>
      <c r="C168" s="1" t="s">
        <v>165</v>
      </c>
      <c r="D168" s="1">
        <v>26027</v>
      </c>
      <c r="E168" s="1">
        <v>8</v>
      </c>
    </row>
    <row r="169" spans="1:5" ht="14.25" customHeight="1" x14ac:dyDescent="0.25">
      <c r="A169" s="1" t="s">
        <v>40</v>
      </c>
      <c r="B169" s="1" t="s">
        <v>126</v>
      </c>
      <c r="C169" s="1" t="s">
        <v>166</v>
      </c>
      <c r="D169" s="1">
        <v>63404</v>
      </c>
      <c r="E169" s="1">
        <v>10</v>
      </c>
    </row>
    <row r="170" spans="1:5" ht="14.25" customHeight="1" x14ac:dyDescent="0.25">
      <c r="A170" s="1" t="s">
        <v>8</v>
      </c>
      <c r="B170" s="1" t="s">
        <v>167</v>
      </c>
      <c r="C170" s="1" t="s">
        <v>166</v>
      </c>
      <c r="D170" s="1">
        <v>96397</v>
      </c>
      <c r="E170" s="1">
        <v>6</v>
      </c>
    </row>
    <row r="171" spans="1:5" ht="14.25" customHeight="1" x14ac:dyDescent="0.25">
      <c r="A171" s="1" t="s">
        <v>13</v>
      </c>
      <c r="B171" s="1" t="s">
        <v>168</v>
      </c>
      <c r="C171" s="1" t="s">
        <v>166</v>
      </c>
      <c r="D171" s="1">
        <v>27593</v>
      </c>
      <c r="E171" s="1">
        <v>4</v>
      </c>
    </row>
    <row r="172" spans="1:5" ht="14.25" customHeight="1" x14ac:dyDescent="0.25">
      <c r="A172" s="1" t="s">
        <v>10</v>
      </c>
      <c r="B172" s="1" t="s">
        <v>24</v>
      </c>
      <c r="C172" s="1" t="s">
        <v>166</v>
      </c>
      <c r="D172" s="1">
        <v>90696</v>
      </c>
      <c r="E172" s="1">
        <v>3</v>
      </c>
    </row>
    <row r="173" spans="1:5" ht="14.25" customHeight="1" x14ac:dyDescent="0.25">
      <c r="A173" s="1" t="s">
        <v>31</v>
      </c>
      <c r="B173" s="1" t="s">
        <v>45</v>
      </c>
      <c r="C173" s="1" t="s">
        <v>166</v>
      </c>
      <c r="D173" s="1">
        <v>85015</v>
      </c>
      <c r="E173" s="1">
        <v>10</v>
      </c>
    </row>
    <row r="174" spans="1:5" ht="14.25" customHeight="1" x14ac:dyDescent="0.25">
      <c r="A174" s="1" t="s">
        <v>27</v>
      </c>
      <c r="B174" s="1" t="s">
        <v>169</v>
      </c>
      <c r="C174" s="1" t="s">
        <v>170</v>
      </c>
      <c r="D174" s="1">
        <v>99019</v>
      </c>
      <c r="E174" s="1">
        <v>5</v>
      </c>
    </row>
    <row r="175" spans="1:5" ht="14.25" customHeight="1" x14ac:dyDescent="0.25">
      <c r="A175" s="1" t="s">
        <v>10</v>
      </c>
      <c r="B175" s="1" t="s">
        <v>129</v>
      </c>
      <c r="C175" s="1" t="s">
        <v>171</v>
      </c>
      <c r="D175" s="1">
        <v>37166</v>
      </c>
      <c r="E175" s="1">
        <v>0</v>
      </c>
    </row>
    <row r="176" spans="1:5" ht="14.25" customHeight="1" x14ac:dyDescent="0.25">
      <c r="A176" s="1" t="s">
        <v>31</v>
      </c>
      <c r="B176" s="1" t="s">
        <v>136</v>
      </c>
      <c r="C176" s="1" t="s">
        <v>171</v>
      </c>
      <c r="D176" s="1">
        <v>21864</v>
      </c>
      <c r="E176" s="1">
        <v>9</v>
      </c>
    </row>
    <row r="177" spans="1:5" ht="14.25" customHeight="1" x14ac:dyDescent="0.25">
      <c r="A177" s="1" t="s">
        <v>23</v>
      </c>
      <c r="B177" s="1" t="s">
        <v>172</v>
      </c>
      <c r="C177" s="1" t="s">
        <v>171</v>
      </c>
      <c r="D177" s="1">
        <v>38015</v>
      </c>
      <c r="E177" s="1">
        <v>8</v>
      </c>
    </row>
    <row r="178" spans="1:5" ht="14.25" customHeight="1" x14ac:dyDescent="0.25">
      <c r="A178" s="1" t="s">
        <v>76</v>
      </c>
      <c r="B178" s="1" t="s">
        <v>77</v>
      </c>
      <c r="C178" s="1" t="s">
        <v>171</v>
      </c>
      <c r="D178" s="1">
        <v>21503</v>
      </c>
      <c r="E178" s="1">
        <v>6</v>
      </c>
    </row>
    <row r="179" spans="1:5" ht="14.25" customHeight="1" x14ac:dyDescent="0.25">
      <c r="A179" s="1" t="s">
        <v>10</v>
      </c>
      <c r="B179" s="1" t="s">
        <v>163</v>
      </c>
      <c r="C179" s="1" t="s">
        <v>171</v>
      </c>
      <c r="D179" s="1">
        <v>18962</v>
      </c>
      <c r="E179" s="1">
        <v>7</v>
      </c>
    </row>
    <row r="180" spans="1:5" ht="14.25" customHeight="1" x14ac:dyDescent="0.25">
      <c r="A180" s="1" t="s">
        <v>40</v>
      </c>
      <c r="B180" s="1" t="s">
        <v>173</v>
      </c>
      <c r="C180" s="1" t="s">
        <v>174</v>
      </c>
      <c r="D180" s="1">
        <v>55074</v>
      </c>
      <c r="E180" s="1">
        <v>5</v>
      </c>
    </row>
    <row r="181" spans="1:5" ht="14.25" customHeight="1" x14ac:dyDescent="0.25">
      <c r="A181" s="1" t="s">
        <v>15</v>
      </c>
      <c r="B181" s="1" t="s">
        <v>44</v>
      </c>
      <c r="C181" s="1" t="s">
        <v>175</v>
      </c>
      <c r="D181" s="1">
        <v>86595</v>
      </c>
      <c r="E181" s="1">
        <v>5</v>
      </c>
    </row>
    <row r="182" spans="1:5" ht="14.25" customHeight="1" x14ac:dyDescent="0.25">
      <c r="A182" s="1" t="s">
        <v>40</v>
      </c>
      <c r="B182" s="1" t="s">
        <v>176</v>
      </c>
      <c r="C182" s="1" t="s">
        <v>175</v>
      </c>
      <c r="D182" s="1">
        <v>82053</v>
      </c>
      <c r="E182" s="1">
        <v>9</v>
      </c>
    </row>
    <row r="183" spans="1:5" ht="14.25" customHeight="1" x14ac:dyDescent="0.25">
      <c r="A183" s="1" t="s">
        <v>40</v>
      </c>
      <c r="B183" s="1" t="s">
        <v>64</v>
      </c>
      <c r="C183" s="1" t="s">
        <v>175</v>
      </c>
      <c r="D183" s="1">
        <v>15090</v>
      </c>
      <c r="E183" s="1">
        <v>10</v>
      </c>
    </row>
    <row r="184" spans="1:5" ht="14.25" customHeight="1" x14ac:dyDescent="0.25">
      <c r="A184" s="1" t="s">
        <v>27</v>
      </c>
      <c r="B184" s="1" t="s">
        <v>177</v>
      </c>
      <c r="C184" s="1" t="s">
        <v>175</v>
      </c>
      <c r="D184" s="1">
        <v>52662</v>
      </c>
      <c r="E184" s="1">
        <v>4</v>
      </c>
    </row>
    <row r="185" spans="1:5" ht="14.25" customHeight="1" x14ac:dyDescent="0.25">
      <c r="A185" s="1" t="s">
        <v>76</v>
      </c>
      <c r="B185" s="1" t="s">
        <v>18</v>
      </c>
      <c r="C185" s="1" t="s">
        <v>178</v>
      </c>
      <c r="D185" s="1">
        <v>45782</v>
      </c>
      <c r="E185" s="1">
        <v>7</v>
      </c>
    </row>
    <row r="186" spans="1:5" ht="14.25" customHeight="1" x14ac:dyDescent="0.25">
      <c r="A186" s="1" t="s">
        <v>15</v>
      </c>
      <c r="B186" s="1" t="s">
        <v>179</v>
      </c>
      <c r="C186" s="1" t="s">
        <v>178</v>
      </c>
      <c r="D186" s="1">
        <v>92577</v>
      </c>
      <c r="E186" s="1">
        <v>3</v>
      </c>
    </row>
    <row r="187" spans="1:5" ht="14.25" customHeight="1" x14ac:dyDescent="0.25">
      <c r="A187" s="1" t="s">
        <v>23</v>
      </c>
      <c r="B187" s="1" t="s">
        <v>37</v>
      </c>
      <c r="C187" s="1" t="s">
        <v>180</v>
      </c>
      <c r="D187" s="1">
        <v>81158</v>
      </c>
      <c r="E187" s="1">
        <v>8</v>
      </c>
    </row>
    <row r="188" spans="1:5" ht="14.25" customHeight="1" x14ac:dyDescent="0.25">
      <c r="A188" s="1" t="s">
        <v>23</v>
      </c>
      <c r="B188" s="1" t="s">
        <v>181</v>
      </c>
      <c r="C188" s="1" t="s">
        <v>180</v>
      </c>
      <c r="D188" s="1">
        <v>51301</v>
      </c>
      <c r="E188" s="1">
        <v>7</v>
      </c>
    </row>
    <row r="189" spans="1:5" ht="14.25" customHeight="1" x14ac:dyDescent="0.25">
      <c r="A189" s="1" t="s">
        <v>10</v>
      </c>
      <c r="B189" s="1" t="s">
        <v>89</v>
      </c>
      <c r="C189" s="1" t="s">
        <v>182</v>
      </c>
      <c r="D189" s="1">
        <v>71253</v>
      </c>
      <c r="E189" s="1">
        <v>6</v>
      </c>
    </row>
    <row r="190" spans="1:5" ht="14.25" customHeight="1" x14ac:dyDescent="0.25">
      <c r="A190" s="1" t="s">
        <v>13</v>
      </c>
      <c r="B190" s="1" t="s">
        <v>61</v>
      </c>
      <c r="C190" s="1" t="s">
        <v>182</v>
      </c>
      <c r="D190" s="1">
        <v>98667</v>
      </c>
      <c r="E190" s="1">
        <v>4</v>
      </c>
    </row>
    <row r="191" spans="1:5" ht="14.25" customHeight="1" x14ac:dyDescent="0.25">
      <c r="A191" s="1" t="s">
        <v>10</v>
      </c>
      <c r="B191" s="1" t="s">
        <v>183</v>
      </c>
      <c r="C191" s="1" t="s">
        <v>182</v>
      </c>
      <c r="D191" s="1">
        <v>50878</v>
      </c>
      <c r="E191" s="1">
        <v>7</v>
      </c>
    </row>
    <row r="192" spans="1:5" ht="14.25" customHeight="1" x14ac:dyDescent="0.25">
      <c r="A192" s="1" t="s">
        <v>76</v>
      </c>
      <c r="B192" s="1" t="s">
        <v>158</v>
      </c>
      <c r="C192" s="1" t="s">
        <v>182</v>
      </c>
      <c r="D192" s="1">
        <v>57104</v>
      </c>
      <c r="E192" s="1">
        <v>3</v>
      </c>
    </row>
    <row r="193" spans="1:5" ht="14.25" customHeight="1" x14ac:dyDescent="0.25">
      <c r="A193" s="1" t="s">
        <v>13</v>
      </c>
      <c r="B193" s="1" t="s">
        <v>67</v>
      </c>
      <c r="C193" s="1" t="s">
        <v>182</v>
      </c>
      <c r="D193" s="1">
        <v>38241</v>
      </c>
      <c r="E193" s="1">
        <v>6</v>
      </c>
    </row>
    <row r="194" spans="1:5" ht="14.25" customHeight="1" x14ac:dyDescent="0.25">
      <c r="A194" s="1" t="s">
        <v>23</v>
      </c>
      <c r="B194" s="1" t="s">
        <v>89</v>
      </c>
      <c r="C194" s="1" t="s">
        <v>182</v>
      </c>
      <c r="D194" s="1">
        <v>82351</v>
      </c>
      <c r="E194" s="1">
        <v>0</v>
      </c>
    </row>
    <row r="195" spans="1:5" ht="14.25" customHeight="1" x14ac:dyDescent="0.25">
      <c r="A195" s="1" t="s">
        <v>40</v>
      </c>
      <c r="B195" s="1" t="s">
        <v>64</v>
      </c>
      <c r="C195" s="1" t="s">
        <v>182</v>
      </c>
      <c r="D195" s="1">
        <v>50037</v>
      </c>
      <c r="E195" s="1">
        <v>6</v>
      </c>
    </row>
    <row r="196" spans="1:5" ht="14.25" customHeight="1" x14ac:dyDescent="0.25">
      <c r="A196" s="1" t="s">
        <v>66</v>
      </c>
      <c r="B196" s="1" t="s">
        <v>70</v>
      </c>
      <c r="C196" s="1" t="s">
        <v>182</v>
      </c>
      <c r="D196" s="1">
        <v>81754</v>
      </c>
      <c r="E196" s="1">
        <v>8</v>
      </c>
    </row>
    <row r="197" spans="1:5" ht="14.25" customHeight="1" x14ac:dyDescent="0.25">
      <c r="A197" s="1" t="s">
        <v>5</v>
      </c>
      <c r="B197" s="1" t="s">
        <v>184</v>
      </c>
      <c r="C197" s="1" t="s">
        <v>182</v>
      </c>
      <c r="D197" s="1">
        <v>50080</v>
      </c>
      <c r="E197" s="1">
        <v>1</v>
      </c>
    </row>
    <row r="198" spans="1:5" ht="14.25" customHeight="1" x14ac:dyDescent="0.25">
      <c r="A198" s="1" t="s">
        <v>31</v>
      </c>
      <c r="B198" s="1" t="s">
        <v>30</v>
      </c>
      <c r="C198" s="1" t="s">
        <v>182</v>
      </c>
      <c r="D198" s="1">
        <v>89380</v>
      </c>
      <c r="E198" s="1">
        <v>5</v>
      </c>
    </row>
    <row r="199" spans="1:5" ht="14.25" customHeight="1" x14ac:dyDescent="0.25">
      <c r="A199" s="1" t="s">
        <v>10</v>
      </c>
      <c r="B199" s="1" t="s">
        <v>54</v>
      </c>
      <c r="C199" s="1" t="s">
        <v>185</v>
      </c>
      <c r="D199" s="1">
        <v>72300</v>
      </c>
      <c r="E199" s="1">
        <v>7</v>
      </c>
    </row>
    <row r="200" spans="1:5" ht="14.25" customHeight="1" x14ac:dyDescent="0.25">
      <c r="A200" s="1" t="s">
        <v>40</v>
      </c>
      <c r="B200" s="1" t="s">
        <v>186</v>
      </c>
      <c r="C200" s="1" t="s">
        <v>185</v>
      </c>
      <c r="D200" s="1">
        <v>33208</v>
      </c>
      <c r="E200" s="1">
        <v>7</v>
      </c>
    </row>
    <row r="201" spans="1:5" ht="14.25" customHeight="1" x14ac:dyDescent="0.25">
      <c r="A201" s="1" t="s">
        <v>31</v>
      </c>
      <c r="B201" s="1" t="s">
        <v>187</v>
      </c>
      <c r="C201" s="1" t="s">
        <v>185</v>
      </c>
      <c r="D201" s="1">
        <v>65672</v>
      </c>
      <c r="E201" s="1">
        <v>8</v>
      </c>
    </row>
    <row r="202" spans="1:5" ht="14.25" customHeight="1" x14ac:dyDescent="0.25">
      <c r="A202" s="1" t="s">
        <v>27</v>
      </c>
      <c r="B202" s="1" t="s">
        <v>16</v>
      </c>
      <c r="C202" s="1" t="s">
        <v>185</v>
      </c>
      <c r="D202" s="1">
        <v>63343</v>
      </c>
      <c r="E202" s="1">
        <v>3</v>
      </c>
    </row>
    <row r="203" spans="1:5" ht="14.25" customHeight="1" x14ac:dyDescent="0.25">
      <c r="A203" s="1" t="s">
        <v>23</v>
      </c>
      <c r="B203" s="1" t="s">
        <v>9</v>
      </c>
      <c r="C203" s="1" t="s">
        <v>188</v>
      </c>
      <c r="D203" s="1">
        <v>22271</v>
      </c>
      <c r="E203" s="1">
        <v>2</v>
      </c>
    </row>
    <row r="204" spans="1:5" ht="14.25" customHeight="1" x14ac:dyDescent="0.25">
      <c r="A204" s="1" t="s">
        <v>27</v>
      </c>
      <c r="B204" s="1" t="s">
        <v>189</v>
      </c>
      <c r="C204" s="1" t="s">
        <v>188</v>
      </c>
      <c r="D204" s="1">
        <v>28692</v>
      </c>
      <c r="E204" s="1">
        <v>4</v>
      </c>
    </row>
    <row r="205" spans="1:5" ht="14.25" customHeight="1" x14ac:dyDescent="0.25">
      <c r="A205" s="1" t="s">
        <v>8</v>
      </c>
      <c r="B205" s="1" t="s">
        <v>130</v>
      </c>
      <c r="C205" s="1" t="s">
        <v>188</v>
      </c>
      <c r="D205" s="1">
        <v>60557</v>
      </c>
      <c r="E205" s="1">
        <v>5</v>
      </c>
    </row>
    <row r="206" spans="1:5" ht="14.25" customHeight="1" x14ac:dyDescent="0.25">
      <c r="A206" s="1" t="s">
        <v>8</v>
      </c>
      <c r="B206" s="1" t="s">
        <v>72</v>
      </c>
      <c r="C206" s="1" t="s">
        <v>190</v>
      </c>
      <c r="D206" s="1">
        <v>38359</v>
      </c>
      <c r="E206" s="1">
        <v>2</v>
      </c>
    </row>
    <row r="207" spans="1:5" ht="14.25" customHeight="1" x14ac:dyDescent="0.25">
      <c r="A207" s="1" t="s">
        <v>40</v>
      </c>
      <c r="B207" s="1" t="s">
        <v>191</v>
      </c>
      <c r="C207" s="1" t="s">
        <v>190</v>
      </c>
      <c r="D207" s="1">
        <v>82443</v>
      </c>
      <c r="E207" s="1">
        <v>7</v>
      </c>
    </row>
    <row r="208" spans="1:5" ht="14.25" customHeight="1" x14ac:dyDescent="0.25">
      <c r="A208" s="1" t="s">
        <v>66</v>
      </c>
      <c r="B208" s="1" t="s">
        <v>131</v>
      </c>
      <c r="C208" s="1" t="s">
        <v>190</v>
      </c>
      <c r="D208" s="1">
        <v>58565</v>
      </c>
      <c r="E208" s="1">
        <v>2</v>
      </c>
    </row>
    <row r="209" spans="1:5" ht="14.25" customHeight="1" x14ac:dyDescent="0.25">
      <c r="A209" s="1" t="s">
        <v>40</v>
      </c>
      <c r="B209" s="1" t="s">
        <v>184</v>
      </c>
      <c r="C209" s="1" t="s">
        <v>192</v>
      </c>
      <c r="D209" s="1">
        <v>65696</v>
      </c>
      <c r="E209" s="1">
        <v>5</v>
      </c>
    </row>
    <row r="210" spans="1:5" ht="14.25" customHeight="1" x14ac:dyDescent="0.25">
      <c r="A210" s="1" t="s">
        <v>23</v>
      </c>
      <c r="B210" s="1" t="s">
        <v>193</v>
      </c>
      <c r="C210" s="1" t="s">
        <v>192</v>
      </c>
      <c r="D210" s="1">
        <v>89564</v>
      </c>
      <c r="E210" s="1">
        <v>7</v>
      </c>
    </row>
    <row r="211" spans="1:5" ht="14.25" customHeight="1" x14ac:dyDescent="0.25">
      <c r="A211" s="1" t="s">
        <v>15</v>
      </c>
      <c r="B211" s="1" t="s">
        <v>65</v>
      </c>
      <c r="C211" s="1" t="s">
        <v>192</v>
      </c>
      <c r="D211" s="1">
        <v>50277</v>
      </c>
      <c r="E211" s="1">
        <v>1</v>
      </c>
    </row>
    <row r="212" spans="1:5" ht="14.25" customHeight="1" x14ac:dyDescent="0.25">
      <c r="A212" s="1" t="s">
        <v>13</v>
      </c>
      <c r="B212" s="1" t="s">
        <v>65</v>
      </c>
      <c r="C212" s="1" t="s">
        <v>192</v>
      </c>
      <c r="D212" s="1">
        <v>58715</v>
      </c>
      <c r="E212" s="1">
        <v>5</v>
      </c>
    </row>
    <row r="213" spans="1:5" ht="14.25" customHeight="1" x14ac:dyDescent="0.25">
      <c r="A213" s="1" t="s">
        <v>76</v>
      </c>
      <c r="B213" s="1" t="s">
        <v>183</v>
      </c>
      <c r="C213" s="1" t="s">
        <v>192</v>
      </c>
      <c r="D213" s="1">
        <v>86833</v>
      </c>
      <c r="E213" s="1">
        <v>4</v>
      </c>
    </row>
    <row r="214" spans="1:5" ht="14.25" customHeight="1" x14ac:dyDescent="0.25">
      <c r="A214" s="1" t="s">
        <v>13</v>
      </c>
      <c r="B214" s="1" t="s">
        <v>194</v>
      </c>
      <c r="C214" s="1" t="s">
        <v>192</v>
      </c>
      <c r="D214" s="1">
        <v>94455</v>
      </c>
      <c r="E214" s="1">
        <v>1</v>
      </c>
    </row>
    <row r="215" spans="1:5" ht="14.25" customHeight="1" x14ac:dyDescent="0.25">
      <c r="A215" s="1" t="s">
        <v>66</v>
      </c>
      <c r="B215" s="1" t="s">
        <v>86</v>
      </c>
      <c r="C215" s="1" t="s">
        <v>195</v>
      </c>
      <c r="D215" s="1">
        <v>39918</v>
      </c>
      <c r="E215" s="1">
        <v>8</v>
      </c>
    </row>
    <row r="216" spans="1:5" ht="14.25" customHeight="1" x14ac:dyDescent="0.25">
      <c r="A216" s="1" t="s">
        <v>66</v>
      </c>
      <c r="B216" s="1" t="s">
        <v>36</v>
      </c>
      <c r="C216" s="1" t="s">
        <v>195</v>
      </c>
      <c r="D216" s="1">
        <v>61878</v>
      </c>
      <c r="E216" s="1">
        <v>7</v>
      </c>
    </row>
    <row r="217" spans="1:5" ht="14.25" customHeight="1" x14ac:dyDescent="0.25">
      <c r="A217" s="1" t="s">
        <v>27</v>
      </c>
      <c r="B217" s="1" t="s">
        <v>196</v>
      </c>
      <c r="C217" s="1" t="s">
        <v>195</v>
      </c>
      <c r="D217" s="1">
        <v>40908</v>
      </c>
      <c r="E217" s="1">
        <v>7</v>
      </c>
    </row>
    <row r="218" spans="1:5" ht="14.25" customHeight="1" x14ac:dyDescent="0.25">
      <c r="A218" s="1" t="s">
        <v>27</v>
      </c>
      <c r="B218" s="1" t="s">
        <v>197</v>
      </c>
      <c r="C218" s="1" t="s">
        <v>195</v>
      </c>
      <c r="D218" s="1">
        <v>55679</v>
      </c>
      <c r="E218" s="1">
        <v>9</v>
      </c>
    </row>
    <row r="219" spans="1:5" ht="14.25" customHeight="1" x14ac:dyDescent="0.25">
      <c r="A219" s="1" t="s">
        <v>51</v>
      </c>
      <c r="B219" s="1" t="s">
        <v>63</v>
      </c>
      <c r="C219" s="1" t="s">
        <v>195</v>
      </c>
      <c r="D219" s="1">
        <v>37412</v>
      </c>
      <c r="E219" s="1">
        <v>7</v>
      </c>
    </row>
    <row r="220" spans="1:5" ht="14.25" customHeight="1" x14ac:dyDescent="0.25">
      <c r="A220" s="1" t="s">
        <v>27</v>
      </c>
      <c r="B220" s="1" t="s">
        <v>77</v>
      </c>
      <c r="C220" s="1" t="s">
        <v>195</v>
      </c>
      <c r="D220" s="1">
        <v>42102</v>
      </c>
      <c r="E220" s="1">
        <v>8</v>
      </c>
    </row>
    <row r="221" spans="1:5" ht="14.25" customHeight="1" x14ac:dyDescent="0.25">
      <c r="A221" s="1" t="s">
        <v>15</v>
      </c>
      <c r="B221" s="1" t="s">
        <v>198</v>
      </c>
      <c r="C221" s="1" t="s">
        <v>195</v>
      </c>
      <c r="D221" s="1">
        <v>82036</v>
      </c>
      <c r="E221" s="1">
        <v>8</v>
      </c>
    </row>
    <row r="222" spans="1:5" ht="14.25" customHeight="1" x14ac:dyDescent="0.25">
      <c r="A222" s="1" t="s">
        <v>27</v>
      </c>
      <c r="B222" s="1" t="s">
        <v>148</v>
      </c>
      <c r="C222" s="1" t="s">
        <v>199</v>
      </c>
      <c r="D222" s="1">
        <v>94641</v>
      </c>
      <c r="E222" s="1">
        <v>7</v>
      </c>
    </row>
    <row r="223" spans="1:5" ht="14.25" customHeight="1" x14ac:dyDescent="0.25">
      <c r="A223" s="1" t="s">
        <v>66</v>
      </c>
      <c r="B223" s="1" t="s">
        <v>200</v>
      </c>
      <c r="C223" s="1" t="s">
        <v>201</v>
      </c>
      <c r="D223" s="1">
        <v>76419</v>
      </c>
      <c r="E223" s="1">
        <v>7</v>
      </c>
    </row>
    <row r="224" spans="1:5" ht="14.25" customHeight="1" x14ac:dyDescent="0.25">
      <c r="A224" s="1" t="s">
        <v>8</v>
      </c>
      <c r="B224" s="1" t="s">
        <v>105</v>
      </c>
      <c r="C224" s="1" t="s">
        <v>201</v>
      </c>
      <c r="D224" s="1">
        <v>19290</v>
      </c>
      <c r="E224" s="1">
        <v>9</v>
      </c>
    </row>
    <row r="225" spans="1:5" ht="14.25" customHeight="1" x14ac:dyDescent="0.25">
      <c r="A225" s="1" t="s">
        <v>8</v>
      </c>
      <c r="B225" s="1" t="s">
        <v>104</v>
      </c>
      <c r="C225" s="1" t="s">
        <v>201</v>
      </c>
      <c r="D225" s="1">
        <v>20660</v>
      </c>
      <c r="E225" s="1">
        <v>2</v>
      </c>
    </row>
    <row r="226" spans="1:5" ht="14.25" customHeight="1" x14ac:dyDescent="0.25">
      <c r="A226" s="1" t="s">
        <v>31</v>
      </c>
      <c r="B226" s="1" t="s">
        <v>202</v>
      </c>
      <c r="C226" s="1" t="s">
        <v>203</v>
      </c>
      <c r="D226" s="1">
        <v>29231</v>
      </c>
      <c r="E226" s="1">
        <v>3</v>
      </c>
    </row>
    <row r="227" spans="1:5" ht="14.25" customHeight="1" x14ac:dyDescent="0.25">
      <c r="A227" s="1" t="s">
        <v>23</v>
      </c>
      <c r="B227" s="1" t="s">
        <v>35</v>
      </c>
      <c r="C227" s="1" t="s">
        <v>203</v>
      </c>
      <c r="D227" s="1">
        <v>80360</v>
      </c>
      <c r="E227" s="1">
        <v>6</v>
      </c>
    </row>
    <row r="228" spans="1:5" ht="14.25" customHeight="1" x14ac:dyDescent="0.25">
      <c r="A228" s="1" t="s">
        <v>40</v>
      </c>
      <c r="B228" s="1" t="s">
        <v>49</v>
      </c>
      <c r="C228" s="1" t="s">
        <v>203</v>
      </c>
      <c r="D228" s="1">
        <v>46699</v>
      </c>
      <c r="E228" s="1">
        <v>10</v>
      </c>
    </row>
    <row r="229" spans="1:5" ht="14.25" customHeight="1" x14ac:dyDescent="0.25">
      <c r="A229" s="1" t="s">
        <v>51</v>
      </c>
      <c r="B229" s="1" t="s">
        <v>14</v>
      </c>
      <c r="C229" s="1" t="s">
        <v>204</v>
      </c>
      <c r="D229" s="1">
        <v>87836</v>
      </c>
      <c r="E229" s="1">
        <v>6</v>
      </c>
    </row>
    <row r="230" spans="1:5" ht="14.25" customHeight="1" x14ac:dyDescent="0.25">
      <c r="A230" s="1" t="s">
        <v>31</v>
      </c>
      <c r="B230" s="1" t="s">
        <v>106</v>
      </c>
      <c r="C230" s="1" t="s">
        <v>204</v>
      </c>
      <c r="D230" s="1">
        <v>29732</v>
      </c>
      <c r="E230" s="1">
        <v>2</v>
      </c>
    </row>
    <row r="231" spans="1:5" ht="14.25" customHeight="1" x14ac:dyDescent="0.25">
      <c r="A231" s="1" t="s">
        <v>5</v>
      </c>
      <c r="B231" s="1" t="s">
        <v>58</v>
      </c>
      <c r="C231" s="1" t="s">
        <v>205</v>
      </c>
      <c r="D231" s="1">
        <v>91147</v>
      </c>
      <c r="E231" s="1">
        <v>7</v>
      </c>
    </row>
    <row r="232" spans="1:5" ht="14.25" customHeight="1" x14ac:dyDescent="0.25">
      <c r="A232" s="1" t="s">
        <v>51</v>
      </c>
      <c r="B232" s="1" t="s">
        <v>179</v>
      </c>
      <c r="C232" s="1" t="s">
        <v>205</v>
      </c>
      <c r="D232" s="1">
        <v>65304</v>
      </c>
      <c r="E232" s="1">
        <v>2</v>
      </c>
    </row>
    <row r="233" spans="1:5" ht="14.25" customHeight="1" x14ac:dyDescent="0.25">
      <c r="A233" s="1" t="s">
        <v>13</v>
      </c>
      <c r="B233" s="1" t="s">
        <v>140</v>
      </c>
      <c r="C233" s="1" t="s">
        <v>205</v>
      </c>
      <c r="D233" s="1">
        <v>87372</v>
      </c>
      <c r="E233" s="1">
        <v>8</v>
      </c>
    </row>
    <row r="234" spans="1:5" ht="14.25" customHeight="1" x14ac:dyDescent="0.25">
      <c r="A234" s="1" t="s">
        <v>31</v>
      </c>
      <c r="B234" s="1" t="s">
        <v>196</v>
      </c>
      <c r="C234" s="1" t="s">
        <v>205</v>
      </c>
      <c r="D234" s="1">
        <v>53362</v>
      </c>
      <c r="E234" s="1">
        <v>9</v>
      </c>
    </row>
    <row r="235" spans="1:5" ht="14.25" customHeight="1" x14ac:dyDescent="0.25">
      <c r="A235" s="1" t="s">
        <v>8</v>
      </c>
      <c r="B235" s="1" t="s">
        <v>109</v>
      </c>
      <c r="C235" s="1" t="s">
        <v>205</v>
      </c>
      <c r="D235" s="1">
        <v>33652</v>
      </c>
      <c r="E235" s="1">
        <v>10</v>
      </c>
    </row>
    <row r="236" spans="1:5" ht="14.25" customHeight="1" x14ac:dyDescent="0.25">
      <c r="A236" s="1" t="s">
        <v>31</v>
      </c>
      <c r="B236" s="1" t="s">
        <v>206</v>
      </c>
      <c r="C236" s="1" t="s">
        <v>205</v>
      </c>
      <c r="D236" s="1">
        <v>11324</v>
      </c>
      <c r="E236" s="1">
        <v>4</v>
      </c>
    </row>
    <row r="237" spans="1:5" ht="14.25" customHeight="1" x14ac:dyDescent="0.25">
      <c r="A237" s="1" t="s">
        <v>66</v>
      </c>
      <c r="B237" s="1" t="s">
        <v>207</v>
      </c>
      <c r="C237" s="1" t="s">
        <v>205</v>
      </c>
      <c r="D237" s="1">
        <v>93784</v>
      </c>
      <c r="E237" s="1">
        <v>9</v>
      </c>
    </row>
    <row r="238" spans="1:5" ht="14.25" customHeight="1" x14ac:dyDescent="0.25">
      <c r="A238" s="1" t="s">
        <v>15</v>
      </c>
      <c r="B238" s="1" t="s">
        <v>208</v>
      </c>
      <c r="C238" s="1" t="s">
        <v>205</v>
      </c>
      <c r="D238" s="1">
        <v>74196</v>
      </c>
      <c r="E238" s="1">
        <v>6</v>
      </c>
    </row>
    <row r="239" spans="1:5" ht="14.25" customHeight="1" x14ac:dyDescent="0.25">
      <c r="A239" s="1" t="s">
        <v>8</v>
      </c>
      <c r="B239" s="1" t="s">
        <v>117</v>
      </c>
      <c r="C239" s="1" t="s">
        <v>205</v>
      </c>
      <c r="D239" s="1">
        <v>64759</v>
      </c>
      <c r="E239" s="1">
        <v>10</v>
      </c>
    </row>
    <row r="240" spans="1:5" ht="14.25" customHeight="1" x14ac:dyDescent="0.25">
      <c r="A240" s="1" t="s">
        <v>10</v>
      </c>
      <c r="B240" s="1" t="s">
        <v>162</v>
      </c>
      <c r="C240" s="1" t="s">
        <v>205</v>
      </c>
      <c r="D240" s="1">
        <v>65240</v>
      </c>
      <c r="E240" s="1">
        <v>5</v>
      </c>
    </row>
    <row r="241" spans="1:5" ht="14.25" customHeight="1" x14ac:dyDescent="0.25">
      <c r="A241" s="1" t="s">
        <v>5</v>
      </c>
      <c r="B241" s="1" t="s">
        <v>186</v>
      </c>
      <c r="C241" s="1" t="s">
        <v>205</v>
      </c>
      <c r="D241" s="1">
        <v>69081</v>
      </c>
      <c r="E241" s="1">
        <v>4</v>
      </c>
    </row>
    <row r="242" spans="1:5" ht="14.25" customHeight="1" x14ac:dyDescent="0.25">
      <c r="A242" s="1" t="s">
        <v>76</v>
      </c>
      <c r="B242" s="1" t="s">
        <v>79</v>
      </c>
      <c r="C242" s="1" t="s">
        <v>209</v>
      </c>
      <c r="D242" s="1">
        <v>16166</v>
      </c>
      <c r="E242" s="1">
        <v>7</v>
      </c>
    </row>
    <row r="243" spans="1:5" ht="14.25" customHeight="1" x14ac:dyDescent="0.25">
      <c r="A243" s="1" t="s">
        <v>10</v>
      </c>
      <c r="B243" s="1" t="s">
        <v>210</v>
      </c>
      <c r="C243" s="1" t="s">
        <v>209</v>
      </c>
      <c r="D243" s="1">
        <v>26253</v>
      </c>
      <c r="E243" s="1">
        <v>4</v>
      </c>
    </row>
    <row r="244" spans="1:5" ht="14.25" customHeight="1" x14ac:dyDescent="0.25">
      <c r="A244" s="1" t="s">
        <v>66</v>
      </c>
      <c r="B244" s="1" t="s">
        <v>183</v>
      </c>
      <c r="C244" s="1" t="s">
        <v>209</v>
      </c>
      <c r="D244" s="1">
        <v>22364</v>
      </c>
      <c r="E244" s="1">
        <v>6</v>
      </c>
    </row>
    <row r="245" spans="1:5" ht="14.25" customHeight="1" x14ac:dyDescent="0.25">
      <c r="A245" s="1" t="s">
        <v>15</v>
      </c>
      <c r="B245" s="1" t="s">
        <v>6</v>
      </c>
      <c r="C245" s="1" t="s">
        <v>209</v>
      </c>
      <c r="D245" s="1">
        <v>80592</v>
      </c>
      <c r="E245" s="1">
        <v>8</v>
      </c>
    </row>
    <row r="246" spans="1:5" ht="14.25" customHeight="1" x14ac:dyDescent="0.25">
      <c r="A246" s="1" t="s">
        <v>15</v>
      </c>
      <c r="B246" s="1" t="s">
        <v>211</v>
      </c>
      <c r="C246" s="1" t="s">
        <v>209</v>
      </c>
      <c r="D246" s="1">
        <v>97695</v>
      </c>
      <c r="E246" s="1">
        <v>5</v>
      </c>
    </row>
    <row r="247" spans="1:5" ht="14.25" customHeight="1" x14ac:dyDescent="0.25">
      <c r="A247" s="1" t="s">
        <v>51</v>
      </c>
      <c r="B247" s="1" t="s">
        <v>114</v>
      </c>
      <c r="C247" s="1" t="s">
        <v>212</v>
      </c>
      <c r="D247" s="1">
        <v>24926</v>
      </c>
      <c r="E247" s="1">
        <v>7</v>
      </c>
    </row>
    <row r="248" spans="1:5" ht="14.25" customHeight="1" x14ac:dyDescent="0.25">
      <c r="A248" s="1" t="s">
        <v>40</v>
      </c>
      <c r="B248" s="1" t="s">
        <v>213</v>
      </c>
      <c r="C248" s="1" t="s">
        <v>212</v>
      </c>
      <c r="D248" s="1">
        <v>83999</v>
      </c>
      <c r="E248" s="1">
        <v>3</v>
      </c>
    </row>
    <row r="249" spans="1:5" ht="14.25" customHeight="1" x14ac:dyDescent="0.25">
      <c r="A249" s="1" t="s">
        <v>40</v>
      </c>
      <c r="B249" s="1" t="s">
        <v>160</v>
      </c>
      <c r="C249" s="1" t="s">
        <v>212</v>
      </c>
      <c r="D249" s="1">
        <v>36203</v>
      </c>
      <c r="E249" s="1">
        <v>8</v>
      </c>
    </row>
    <row r="250" spans="1:5" ht="14.25" customHeight="1" x14ac:dyDescent="0.25">
      <c r="A250" s="1" t="s">
        <v>5</v>
      </c>
      <c r="B250" s="1" t="s">
        <v>94</v>
      </c>
      <c r="C250" s="1" t="s">
        <v>214</v>
      </c>
      <c r="D250" s="1">
        <v>42985</v>
      </c>
      <c r="E250" s="1">
        <v>8</v>
      </c>
    </row>
    <row r="251" spans="1:5" ht="14.25" customHeight="1" x14ac:dyDescent="0.25">
      <c r="A251" s="1" t="s">
        <v>40</v>
      </c>
      <c r="B251" s="1" t="s">
        <v>65</v>
      </c>
      <c r="C251" s="1" t="s">
        <v>214</v>
      </c>
      <c r="D251" s="1">
        <v>12396</v>
      </c>
      <c r="E251" s="1">
        <v>7</v>
      </c>
    </row>
    <row r="252" spans="1:5" ht="14.25" customHeight="1" x14ac:dyDescent="0.25">
      <c r="A252" s="1" t="s">
        <v>10</v>
      </c>
      <c r="B252" s="1" t="s">
        <v>91</v>
      </c>
      <c r="C252" s="1" t="s">
        <v>214</v>
      </c>
      <c r="D252" s="1">
        <v>31520</v>
      </c>
      <c r="E252" s="1">
        <v>5</v>
      </c>
    </row>
    <row r="253" spans="1:5" ht="14.25" customHeight="1" x14ac:dyDescent="0.25">
      <c r="A253" s="1" t="s">
        <v>66</v>
      </c>
      <c r="B253" s="1" t="s">
        <v>99</v>
      </c>
      <c r="C253" s="1" t="s">
        <v>214</v>
      </c>
      <c r="D253" s="1">
        <v>56177</v>
      </c>
      <c r="E253" s="1">
        <v>6</v>
      </c>
    </row>
    <row r="254" spans="1:5" ht="14.25" customHeight="1" x14ac:dyDescent="0.25">
      <c r="A254" s="1" t="s">
        <v>13</v>
      </c>
      <c r="B254" s="1" t="s">
        <v>215</v>
      </c>
      <c r="C254" s="1" t="s">
        <v>214</v>
      </c>
      <c r="D254" s="1">
        <v>79700</v>
      </c>
      <c r="E254" s="1">
        <v>4</v>
      </c>
    </row>
    <row r="255" spans="1:5" ht="14.25" customHeight="1" x14ac:dyDescent="0.25">
      <c r="A255" s="1" t="s">
        <v>66</v>
      </c>
      <c r="B255" s="1" t="s">
        <v>136</v>
      </c>
      <c r="C255" s="1" t="s">
        <v>214</v>
      </c>
      <c r="D255" s="1">
        <v>98410</v>
      </c>
      <c r="E255" s="1">
        <v>7</v>
      </c>
    </row>
    <row r="256" spans="1:5" ht="14.25" customHeight="1" x14ac:dyDescent="0.25">
      <c r="A256" s="1" t="s">
        <v>8</v>
      </c>
      <c r="B256" s="1" t="s">
        <v>202</v>
      </c>
      <c r="C256" s="1" t="s">
        <v>214</v>
      </c>
      <c r="D256" s="1">
        <v>26395</v>
      </c>
      <c r="E256" s="1">
        <v>5</v>
      </c>
    </row>
    <row r="257" spans="1:5" ht="14.25" customHeight="1" x14ac:dyDescent="0.25">
      <c r="A257" s="1" t="s">
        <v>13</v>
      </c>
      <c r="B257" s="1" t="s">
        <v>216</v>
      </c>
      <c r="C257" s="1" t="s">
        <v>214</v>
      </c>
      <c r="D257" s="1">
        <v>91628</v>
      </c>
      <c r="E257" s="1">
        <v>1</v>
      </c>
    </row>
    <row r="258" spans="1:5" ht="14.25" customHeight="1" x14ac:dyDescent="0.25">
      <c r="A258" s="1" t="s">
        <v>10</v>
      </c>
      <c r="B258" s="1" t="s">
        <v>125</v>
      </c>
      <c r="C258" s="1" t="s">
        <v>217</v>
      </c>
      <c r="D258" s="1">
        <v>11132</v>
      </c>
      <c r="E258" s="1">
        <v>4</v>
      </c>
    </row>
    <row r="259" spans="1:5" ht="14.25" customHeight="1" x14ac:dyDescent="0.25">
      <c r="A259" s="1" t="s">
        <v>51</v>
      </c>
      <c r="B259" s="1" t="s">
        <v>79</v>
      </c>
      <c r="C259" s="1" t="s">
        <v>217</v>
      </c>
      <c r="D259" s="1">
        <v>55809</v>
      </c>
      <c r="E259" s="1">
        <v>6</v>
      </c>
    </row>
    <row r="260" spans="1:5" ht="14.25" customHeight="1" x14ac:dyDescent="0.25">
      <c r="A260" s="1" t="s">
        <v>76</v>
      </c>
      <c r="B260" s="1" t="s">
        <v>80</v>
      </c>
      <c r="C260" s="1" t="s">
        <v>217</v>
      </c>
      <c r="D260" s="1">
        <v>20932</v>
      </c>
      <c r="E260" s="1">
        <v>8</v>
      </c>
    </row>
    <row r="261" spans="1:5" ht="14.25" customHeight="1" x14ac:dyDescent="0.25">
      <c r="A261" s="1" t="s">
        <v>27</v>
      </c>
      <c r="B261" s="1" t="s">
        <v>38</v>
      </c>
      <c r="C261" s="1" t="s">
        <v>217</v>
      </c>
      <c r="D261" s="1">
        <v>47399</v>
      </c>
      <c r="E261" s="1">
        <v>9</v>
      </c>
    </row>
    <row r="262" spans="1:5" ht="14.25" customHeight="1" x14ac:dyDescent="0.25">
      <c r="A262" s="1" t="s">
        <v>13</v>
      </c>
      <c r="B262" s="1" t="s">
        <v>109</v>
      </c>
      <c r="C262" s="1" t="s">
        <v>218</v>
      </c>
      <c r="D262" s="1">
        <v>37455</v>
      </c>
      <c r="E262" s="1">
        <v>7</v>
      </c>
    </row>
    <row r="263" spans="1:5" ht="14.25" customHeight="1" x14ac:dyDescent="0.25">
      <c r="A263" s="1" t="s">
        <v>5</v>
      </c>
      <c r="B263" s="1" t="s">
        <v>219</v>
      </c>
      <c r="C263" s="1" t="s">
        <v>218</v>
      </c>
      <c r="D263" s="1">
        <v>27246</v>
      </c>
      <c r="E263" s="1">
        <v>10</v>
      </c>
    </row>
    <row r="264" spans="1:5" ht="14.25" customHeight="1" x14ac:dyDescent="0.25">
      <c r="A264" s="1" t="s">
        <v>66</v>
      </c>
      <c r="B264" s="1" t="s">
        <v>146</v>
      </c>
      <c r="C264" s="1" t="s">
        <v>218</v>
      </c>
      <c r="D264" s="1">
        <v>25304</v>
      </c>
      <c r="E264" s="1">
        <v>6</v>
      </c>
    </row>
    <row r="265" spans="1:5" ht="14.25" customHeight="1" x14ac:dyDescent="0.25">
      <c r="A265" s="1" t="s">
        <v>27</v>
      </c>
      <c r="B265" s="1" t="s">
        <v>35</v>
      </c>
      <c r="C265" s="1" t="s">
        <v>218</v>
      </c>
      <c r="D265" s="1">
        <v>12311</v>
      </c>
      <c r="E265" s="1">
        <v>8</v>
      </c>
    </row>
    <row r="266" spans="1:5" ht="14.25" customHeight="1" x14ac:dyDescent="0.25">
      <c r="A266" s="1" t="s">
        <v>51</v>
      </c>
      <c r="B266" s="1" t="s">
        <v>220</v>
      </c>
      <c r="C266" s="1" t="s">
        <v>218</v>
      </c>
      <c r="D266" s="1">
        <v>77950</v>
      </c>
      <c r="E266" s="1">
        <v>7</v>
      </c>
    </row>
    <row r="267" spans="1:5" ht="14.25" customHeight="1" x14ac:dyDescent="0.25">
      <c r="A267" s="1" t="s">
        <v>76</v>
      </c>
      <c r="B267" s="1" t="s">
        <v>14</v>
      </c>
      <c r="C267" s="1" t="s">
        <v>218</v>
      </c>
      <c r="D267" s="1">
        <v>50767</v>
      </c>
      <c r="E267" s="1">
        <v>6</v>
      </c>
    </row>
    <row r="268" spans="1:5" ht="14.25" customHeight="1" x14ac:dyDescent="0.25">
      <c r="A268" s="1" t="s">
        <v>27</v>
      </c>
      <c r="B268" s="1" t="s">
        <v>221</v>
      </c>
      <c r="C268" s="1" t="s">
        <v>222</v>
      </c>
      <c r="D268" s="1">
        <v>98112</v>
      </c>
      <c r="E268" s="1">
        <v>4</v>
      </c>
    </row>
    <row r="269" spans="1:5" ht="14.25" customHeight="1" x14ac:dyDescent="0.25">
      <c r="A269" s="1" t="s">
        <v>15</v>
      </c>
      <c r="B269" s="1" t="s">
        <v>122</v>
      </c>
      <c r="C269" s="1" t="s">
        <v>222</v>
      </c>
      <c r="D269" s="1">
        <v>64011</v>
      </c>
      <c r="E269" s="1">
        <v>8</v>
      </c>
    </row>
    <row r="270" spans="1:5" ht="14.25" customHeight="1" x14ac:dyDescent="0.25">
      <c r="A270" s="1" t="s">
        <v>23</v>
      </c>
      <c r="B270" s="1" t="s">
        <v>85</v>
      </c>
      <c r="C270" s="1" t="s">
        <v>223</v>
      </c>
      <c r="D270" s="1">
        <v>21329</v>
      </c>
      <c r="E270" s="1">
        <v>7</v>
      </c>
    </row>
    <row r="271" spans="1:5" ht="14.25" customHeight="1" x14ac:dyDescent="0.25">
      <c r="A271" s="1" t="s">
        <v>10</v>
      </c>
      <c r="B271" s="1" t="s">
        <v>47</v>
      </c>
      <c r="C271" s="1" t="s">
        <v>223</v>
      </c>
      <c r="D271" s="1">
        <v>52086</v>
      </c>
      <c r="E271" s="1">
        <v>2</v>
      </c>
    </row>
    <row r="272" spans="1:5" ht="14.25" customHeight="1" x14ac:dyDescent="0.25">
      <c r="A272" s="1" t="s">
        <v>27</v>
      </c>
      <c r="B272" s="1" t="s">
        <v>224</v>
      </c>
      <c r="C272" s="1" t="s">
        <v>223</v>
      </c>
      <c r="D272" s="1">
        <v>46495</v>
      </c>
      <c r="E272" s="1">
        <v>6</v>
      </c>
    </row>
    <row r="273" spans="1:5" ht="14.25" customHeight="1" x14ac:dyDescent="0.25">
      <c r="A273" s="1" t="s">
        <v>8</v>
      </c>
      <c r="B273" s="1" t="s">
        <v>63</v>
      </c>
      <c r="C273" s="1" t="s">
        <v>223</v>
      </c>
      <c r="D273" s="1">
        <v>79946</v>
      </c>
      <c r="E273" s="1">
        <v>9</v>
      </c>
    </row>
    <row r="274" spans="1:5" ht="14.25" customHeight="1" x14ac:dyDescent="0.25">
      <c r="A274" s="1" t="s">
        <v>13</v>
      </c>
      <c r="B274" s="1" t="s">
        <v>225</v>
      </c>
      <c r="C274" s="1" t="s">
        <v>223</v>
      </c>
      <c r="D274" s="1">
        <v>37630</v>
      </c>
      <c r="E274" s="1">
        <v>3</v>
      </c>
    </row>
    <row r="275" spans="1:5" ht="14.25" customHeight="1" x14ac:dyDescent="0.25">
      <c r="A275" s="1" t="s">
        <v>8</v>
      </c>
      <c r="B275" s="1" t="s">
        <v>194</v>
      </c>
      <c r="C275" s="1" t="s">
        <v>223</v>
      </c>
      <c r="D275" s="1">
        <v>53852</v>
      </c>
      <c r="E275" s="1">
        <v>9</v>
      </c>
    </row>
    <row r="276" spans="1:5" ht="14.25" customHeight="1" x14ac:dyDescent="0.25">
      <c r="A276" s="1" t="s">
        <v>27</v>
      </c>
      <c r="B276" s="1" t="s">
        <v>168</v>
      </c>
      <c r="C276" s="1" t="s">
        <v>223</v>
      </c>
      <c r="D276" s="1">
        <v>51505</v>
      </c>
      <c r="E276" s="1">
        <v>4</v>
      </c>
    </row>
    <row r="277" spans="1:5" ht="14.25" customHeight="1" x14ac:dyDescent="0.25">
      <c r="A277" s="1" t="s">
        <v>31</v>
      </c>
      <c r="B277" s="1" t="s">
        <v>92</v>
      </c>
      <c r="C277" s="1" t="s">
        <v>223</v>
      </c>
      <c r="D277" s="1">
        <v>34109</v>
      </c>
      <c r="E277" s="1">
        <v>9</v>
      </c>
    </row>
    <row r="278" spans="1:5" ht="14.25" customHeight="1" x14ac:dyDescent="0.25">
      <c r="A278" s="1" t="s">
        <v>13</v>
      </c>
      <c r="B278" s="1" t="s">
        <v>83</v>
      </c>
      <c r="C278" s="1" t="s">
        <v>223</v>
      </c>
      <c r="D278" s="1">
        <v>17820</v>
      </c>
      <c r="E278" s="1">
        <v>5</v>
      </c>
    </row>
    <row r="279" spans="1:5" ht="14.25" customHeight="1" x14ac:dyDescent="0.25">
      <c r="A279" s="1" t="s">
        <v>13</v>
      </c>
      <c r="B279" s="1" t="s">
        <v>113</v>
      </c>
      <c r="C279" s="1" t="s">
        <v>223</v>
      </c>
      <c r="D279" s="1">
        <v>49404</v>
      </c>
      <c r="E279" s="1">
        <v>5</v>
      </c>
    </row>
    <row r="280" spans="1:5" ht="14.25" customHeight="1" x14ac:dyDescent="0.25">
      <c r="A280" s="1" t="s">
        <v>51</v>
      </c>
      <c r="B280" s="1" t="s">
        <v>96</v>
      </c>
      <c r="C280" s="1" t="s">
        <v>226</v>
      </c>
      <c r="D280" s="1">
        <v>51287</v>
      </c>
      <c r="E280" s="1">
        <v>7</v>
      </c>
    </row>
    <row r="281" spans="1:5" ht="14.25" customHeight="1" x14ac:dyDescent="0.25">
      <c r="A281" s="1" t="s">
        <v>13</v>
      </c>
      <c r="B281" s="1" t="s">
        <v>61</v>
      </c>
      <c r="C281" s="1" t="s">
        <v>226</v>
      </c>
      <c r="D281" s="1">
        <v>54634</v>
      </c>
      <c r="E281" s="1">
        <v>0</v>
      </c>
    </row>
    <row r="282" spans="1:5" ht="14.25" customHeight="1" x14ac:dyDescent="0.25">
      <c r="A282" s="1" t="s">
        <v>5</v>
      </c>
      <c r="B282" s="1" t="s">
        <v>63</v>
      </c>
      <c r="C282" s="1" t="s">
        <v>226</v>
      </c>
      <c r="D282" s="1">
        <v>55919</v>
      </c>
      <c r="E282" s="1">
        <v>2</v>
      </c>
    </row>
    <row r="283" spans="1:5" ht="14.25" customHeight="1" x14ac:dyDescent="0.25">
      <c r="A283" s="1" t="s">
        <v>51</v>
      </c>
      <c r="B283" s="1" t="s">
        <v>179</v>
      </c>
      <c r="C283" s="1" t="s">
        <v>227</v>
      </c>
      <c r="D283" s="1">
        <v>59308</v>
      </c>
      <c r="E283" s="1">
        <v>6</v>
      </c>
    </row>
    <row r="284" spans="1:5" ht="14.25" customHeight="1" x14ac:dyDescent="0.25">
      <c r="A284" s="1" t="s">
        <v>8</v>
      </c>
      <c r="B284" s="1" t="s">
        <v>228</v>
      </c>
      <c r="C284" s="1" t="s">
        <v>227</v>
      </c>
      <c r="D284" s="1">
        <v>63912</v>
      </c>
      <c r="E284" s="1">
        <v>6</v>
      </c>
    </row>
    <row r="285" spans="1:5" ht="14.25" customHeight="1" x14ac:dyDescent="0.25">
      <c r="A285" s="1" t="s">
        <v>31</v>
      </c>
      <c r="B285" s="1" t="s">
        <v>229</v>
      </c>
      <c r="C285" s="1" t="s">
        <v>227</v>
      </c>
      <c r="D285" s="1">
        <v>47939</v>
      </c>
      <c r="E285" s="1">
        <v>5</v>
      </c>
    </row>
    <row r="286" spans="1:5" ht="14.25" customHeight="1" x14ac:dyDescent="0.25">
      <c r="A286" s="1" t="s">
        <v>13</v>
      </c>
      <c r="B286" s="1" t="s">
        <v>230</v>
      </c>
      <c r="C286" s="1" t="s">
        <v>227</v>
      </c>
      <c r="D286" s="1">
        <v>17159</v>
      </c>
      <c r="E286" s="1">
        <v>8</v>
      </c>
    </row>
    <row r="287" spans="1:5" ht="14.25" customHeight="1" x14ac:dyDescent="0.25">
      <c r="A287" s="1" t="s">
        <v>76</v>
      </c>
      <c r="B287" s="1" t="s">
        <v>6</v>
      </c>
      <c r="C287" s="1" t="s">
        <v>227</v>
      </c>
      <c r="D287" s="1">
        <v>38393</v>
      </c>
      <c r="E287" s="1">
        <v>2</v>
      </c>
    </row>
    <row r="288" spans="1:5" ht="14.25" customHeight="1" x14ac:dyDescent="0.25">
      <c r="A288" s="1" t="s">
        <v>66</v>
      </c>
      <c r="B288" s="1" t="s">
        <v>82</v>
      </c>
      <c r="C288" s="1" t="s">
        <v>231</v>
      </c>
      <c r="D288" s="1">
        <v>88399</v>
      </c>
      <c r="E288" s="1">
        <v>7</v>
      </c>
    </row>
    <row r="289" spans="1:5" ht="14.25" customHeight="1" x14ac:dyDescent="0.25">
      <c r="A289" s="1" t="s">
        <v>76</v>
      </c>
      <c r="B289" s="1" t="s">
        <v>142</v>
      </c>
      <c r="C289" s="1" t="s">
        <v>231</v>
      </c>
      <c r="D289" s="1">
        <v>42256</v>
      </c>
      <c r="E289" s="1">
        <v>5</v>
      </c>
    </row>
    <row r="290" spans="1:5" ht="14.25" customHeight="1" x14ac:dyDescent="0.25">
      <c r="A290" s="1" t="s">
        <v>5</v>
      </c>
      <c r="B290" s="1" t="s">
        <v>62</v>
      </c>
      <c r="C290" s="1" t="s">
        <v>231</v>
      </c>
      <c r="D290" s="1">
        <v>98954</v>
      </c>
      <c r="E290" s="1">
        <v>8</v>
      </c>
    </row>
    <row r="291" spans="1:5" ht="14.25" customHeight="1" x14ac:dyDescent="0.25">
      <c r="A291" s="1" t="s">
        <v>5</v>
      </c>
      <c r="B291" s="1" t="s">
        <v>168</v>
      </c>
      <c r="C291" s="1" t="s">
        <v>231</v>
      </c>
      <c r="D291" s="1">
        <v>63476</v>
      </c>
      <c r="E291" s="1">
        <v>8</v>
      </c>
    </row>
    <row r="292" spans="1:5" ht="14.25" customHeight="1" x14ac:dyDescent="0.25">
      <c r="A292" s="1" t="s">
        <v>40</v>
      </c>
      <c r="B292" s="1" t="s">
        <v>232</v>
      </c>
      <c r="C292" s="1" t="s">
        <v>231</v>
      </c>
      <c r="D292" s="1">
        <v>89321</v>
      </c>
      <c r="E292" s="1">
        <v>9</v>
      </c>
    </row>
    <row r="293" spans="1:5" ht="14.25" customHeight="1" x14ac:dyDescent="0.25">
      <c r="A293" s="1" t="s">
        <v>10</v>
      </c>
      <c r="B293" s="1" t="s">
        <v>179</v>
      </c>
      <c r="C293" s="1" t="s">
        <v>231</v>
      </c>
      <c r="D293" s="1">
        <v>13146</v>
      </c>
      <c r="E293" s="1">
        <v>8</v>
      </c>
    </row>
    <row r="294" spans="1:5" ht="14.25" customHeight="1" x14ac:dyDescent="0.25">
      <c r="A294" s="1" t="s">
        <v>13</v>
      </c>
      <c r="B294" s="1" t="s">
        <v>233</v>
      </c>
      <c r="C294" s="1" t="s">
        <v>231</v>
      </c>
      <c r="D294" s="1">
        <v>38438</v>
      </c>
      <c r="E294" s="1">
        <v>6</v>
      </c>
    </row>
    <row r="295" spans="1:5" ht="14.25" customHeight="1" x14ac:dyDescent="0.25">
      <c r="A295" s="1" t="s">
        <v>31</v>
      </c>
      <c r="B295" s="1" t="s">
        <v>234</v>
      </c>
      <c r="C295" s="1" t="s">
        <v>231</v>
      </c>
      <c r="D295" s="1">
        <v>87576</v>
      </c>
      <c r="E295" s="1">
        <v>8</v>
      </c>
    </row>
    <row r="296" spans="1:5" ht="14.25" customHeight="1" x14ac:dyDescent="0.25">
      <c r="A296" s="1" t="s">
        <v>31</v>
      </c>
      <c r="B296" s="1" t="s">
        <v>235</v>
      </c>
      <c r="C296" s="1" t="s">
        <v>236</v>
      </c>
      <c r="D296" s="1">
        <v>55665</v>
      </c>
      <c r="E296" s="1">
        <v>7</v>
      </c>
    </row>
    <row r="297" spans="1:5" ht="14.25" customHeight="1" x14ac:dyDescent="0.25">
      <c r="A297" s="1" t="s">
        <v>40</v>
      </c>
      <c r="B297" s="1" t="s">
        <v>237</v>
      </c>
      <c r="C297" s="1" t="s">
        <v>236</v>
      </c>
      <c r="D297" s="1">
        <v>43604</v>
      </c>
      <c r="E297" s="1">
        <v>7</v>
      </c>
    </row>
    <row r="298" spans="1:5" ht="14.25" customHeight="1" x14ac:dyDescent="0.25">
      <c r="A298" s="1" t="s">
        <v>15</v>
      </c>
      <c r="B298" s="1" t="s">
        <v>114</v>
      </c>
      <c r="C298" s="1" t="s">
        <v>236</v>
      </c>
      <c r="D298" s="1">
        <v>77366</v>
      </c>
      <c r="E298" s="1">
        <v>7</v>
      </c>
    </row>
    <row r="299" spans="1:5" ht="14.25" customHeight="1" x14ac:dyDescent="0.25">
      <c r="A299" s="1" t="s">
        <v>76</v>
      </c>
      <c r="B299" s="1" t="s">
        <v>80</v>
      </c>
      <c r="C299" s="1" t="s">
        <v>238</v>
      </c>
      <c r="D299" s="1">
        <v>12380</v>
      </c>
      <c r="E299" s="1">
        <v>8</v>
      </c>
    </row>
    <row r="300" spans="1:5" ht="14.25" customHeight="1" x14ac:dyDescent="0.25">
      <c r="A300" s="1" t="s">
        <v>13</v>
      </c>
      <c r="B300" s="1" t="s">
        <v>151</v>
      </c>
      <c r="C300" s="1" t="s">
        <v>238</v>
      </c>
      <c r="D300" s="1">
        <v>53291</v>
      </c>
      <c r="E300" s="1">
        <v>4</v>
      </c>
    </row>
    <row r="301" spans="1:5" ht="14.25" customHeight="1" x14ac:dyDescent="0.25">
      <c r="A301" s="1" t="s">
        <v>13</v>
      </c>
      <c r="B301" s="1" t="s">
        <v>179</v>
      </c>
      <c r="C301" s="1" t="s">
        <v>238</v>
      </c>
      <c r="D301" s="1">
        <v>73665</v>
      </c>
      <c r="E301" s="1">
        <v>8</v>
      </c>
    </row>
    <row r="302" spans="1:5" ht="14.25" customHeight="1" x14ac:dyDescent="0.25">
      <c r="A302" s="1" t="s">
        <v>51</v>
      </c>
      <c r="B302" s="1" t="s">
        <v>100</v>
      </c>
      <c r="C302" s="1" t="s">
        <v>239</v>
      </c>
      <c r="D302" s="1">
        <v>52894</v>
      </c>
      <c r="E302" s="1">
        <v>6</v>
      </c>
    </row>
    <row r="303" spans="1:5" ht="14.25" customHeight="1" x14ac:dyDescent="0.25">
      <c r="A303" s="1" t="s">
        <v>8</v>
      </c>
      <c r="B303" s="1" t="s">
        <v>19</v>
      </c>
      <c r="C303" s="1" t="s">
        <v>239</v>
      </c>
      <c r="D303" s="1">
        <v>36411</v>
      </c>
      <c r="E303" s="1">
        <v>0</v>
      </c>
    </row>
    <row r="304" spans="1:5" ht="14.25" customHeight="1" x14ac:dyDescent="0.25">
      <c r="A304" s="1" t="s">
        <v>76</v>
      </c>
      <c r="B304" s="1" t="s">
        <v>148</v>
      </c>
      <c r="C304" s="1" t="s">
        <v>240</v>
      </c>
      <c r="D304" s="1">
        <v>56279</v>
      </c>
      <c r="E304" s="1">
        <v>6</v>
      </c>
    </row>
    <row r="305" spans="1:5" ht="14.25" customHeight="1" x14ac:dyDescent="0.25">
      <c r="A305" s="1" t="s">
        <v>23</v>
      </c>
      <c r="B305" s="1" t="s">
        <v>91</v>
      </c>
      <c r="C305" s="1" t="s">
        <v>240</v>
      </c>
      <c r="D305" s="1">
        <v>65884</v>
      </c>
      <c r="E305" s="1">
        <v>7</v>
      </c>
    </row>
    <row r="306" spans="1:5" ht="14.25" customHeight="1" x14ac:dyDescent="0.25">
      <c r="A306" s="1" t="s">
        <v>40</v>
      </c>
      <c r="B306" s="1" t="s">
        <v>235</v>
      </c>
      <c r="C306" s="1" t="s">
        <v>240</v>
      </c>
      <c r="D306" s="1">
        <v>90971</v>
      </c>
      <c r="E306" s="1">
        <v>6</v>
      </c>
    </row>
    <row r="307" spans="1:5" ht="14.25" customHeight="1" x14ac:dyDescent="0.25">
      <c r="A307" s="1" t="s">
        <v>23</v>
      </c>
      <c r="B307" s="1" t="s">
        <v>140</v>
      </c>
      <c r="C307" s="1" t="s">
        <v>241</v>
      </c>
      <c r="D307" s="1">
        <v>45731</v>
      </c>
      <c r="E307" s="1">
        <v>5</v>
      </c>
    </row>
    <row r="308" spans="1:5" ht="14.25" customHeight="1" x14ac:dyDescent="0.25">
      <c r="A308" s="1" t="s">
        <v>15</v>
      </c>
      <c r="B308" s="1" t="s">
        <v>62</v>
      </c>
      <c r="C308" s="1" t="s">
        <v>241</v>
      </c>
      <c r="D308" s="1">
        <v>79015</v>
      </c>
      <c r="E308" s="1">
        <v>7</v>
      </c>
    </row>
    <row r="309" spans="1:5" ht="14.25" customHeight="1" x14ac:dyDescent="0.25">
      <c r="A309" s="1" t="s">
        <v>13</v>
      </c>
      <c r="B309" s="1" t="s">
        <v>242</v>
      </c>
      <c r="C309" s="1" t="s">
        <v>241</v>
      </c>
      <c r="D309" s="1">
        <v>39780</v>
      </c>
      <c r="E309" s="1">
        <v>7</v>
      </c>
    </row>
    <row r="310" spans="1:5" ht="14.25" customHeight="1" x14ac:dyDescent="0.25">
      <c r="A310" s="1" t="s">
        <v>8</v>
      </c>
      <c r="B310" s="1" t="s">
        <v>234</v>
      </c>
      <c r="C310" s="1" t="s">
        <v>241</v>
      </c>
      <c r="D310" s="1">
        <v>98706</v>
      </c>
      <c r="E310" s="1">
        <v>6</v>
      </c>
    </row>
    <row r="311" spans="1:5" ht="14.25" customHeight="1" x14ac:dyDescent="0.25">
      <c r="A311" s="1" t="s">
        <v>5</v>
      </c>
      <c r="B311" s="1" t="s">
        <v>243</v>
      </c>
      <c r="C311" s="1" t="s">
        <v>241</v>
      </c>
      <c r="D311" s="1">
        <v>22281</v>
      </c>
      <c r="E311" s="1">
        <v>6</v>
      </c>
    </row>
    <row r="312" spans="1:5" ht="14.25" customHeight="1" x14ac:dyDescent="0.25">
      <c r="A312" s="1" t="s">
        <v>51</v>
      </c>
      <c r="B312" s="1" t="s">
        <v>160</v>
      </c>
      <c r="C312" s="1" t="s">
        <v>241</v>
      </c>
      <c r="D312" s="1">
        <v>57095</v>
      </c>
      <c r="E312" s="1">
        <v>9</v>
      </c>
    </row>
    <row r="313" spans="1:5" ht="14.25" customHeight="1" x14ac:dyDescent="0.25">
      <c r="A313" s="1" t="s">
        <v>40</v>
      </c>
      <c r="B313" s="1" t="s">
        <v>39</v>
      </c>
      <c r="C313" s="1" t="s">
        <v>241</v>
      </c>
      <c r="D313" s="1">
        <v>13457</v>
      </c>
      <c r="E313" s="1">
        <v>5</v>
      </c>
    </row>
    <row r="314" spans="1:5" ht="14.25" customHeight="1" x14ac:dyDescent="0.25">
      <c r="A314" s="1" t="s">
        <v>27</v>
      </c>
      <c r="B314" s="1" t="s">
        <v>200</v>
      </c>
      <c r="C314" s="1" t="s">
        <v>241</v>
      </c>
      <c r="D314" s="1">
        <v>31661</v>
      </c>
      <c r="E314" s="1">
        <v>9</v>
      </c>
    </row>
    <row r="315" spans="1:5" ht="14.25" customHeight="1" x14ac:dyDescent="0.25">
      <c r="A315" s="1" t="s">
        <v>13</v>
      </c>
      <c r="B315" s="1" t="s">
        <v>111</v>
      </c>
      <c r="C315" s="1" t="s">
        <v>241</v>
      </c>
      <c r="D315" s="1">
        <v>33109</v>
      </c>
      <c r="E315" s="1">
        <v>6</v>
      </c>
    </row>
    <row r="316" spans="1:5" ht="14.25" customHeight="1" x14ac:dyDescent="0.25">
      <c r="A316" s="1" t="s">
        <v>51</v>
      </c>
      <c r="B316" s="1" t="s">
        <v>50</v>
      </c>
      <c r="C316" s="1" t="s">
        <v>244</v>
      </c>
      <c r="D316" s="1">
        <v>10680</v>
      </c>
      <c r="E316" s="1">
        <v>9</v>
      </c>
    </row>
    <row r="317" spans="1:5" ht="14.25" customHeight="1" x14ac:dyDescent="0.25">
      <c r="A317" s="1" t="s">
        <v>10</v>
      </c>
      <c r="B317" s="1" t="s">
        <v>152</v>
      </c>
      <c r="C317" s="1" t="s">
        <v>244</v>
      </c>
      <c r="D317" s="1">
        <v>30743</v>
      </c>
      <c r="E317" s="1">
        <v>6</v>
      </c>
    </row>
    <row r="318" spans="1:5" ht="14.25" customHeight="1" x14ac:dyDescent="0.25">
      <c r="A318" s="1" t="s">
        <v>40</v>
      </c>
      <c r="B318" s="1" t="s">
        <v>137</v>
      </c>
      <c r="C318" s="1" t="s">
        <v>245</v>
      </c>
      <c r="D318" s="1">
        <v>55043</v>
      </c>
      <c r="E318" s="1">
        <v>5</v>
      </c>
    </row>
    <row r="319" spans="1:5" ht="14.25" customHeight="1" x14ac:dyDescent="0.25">
      <c r="A319" s="1" t="s">
        <v>27</v>
      </c>
      <c r="B319" s="1" t="s">
        <v>110</v>
      </c>
      <c r="C319" s="1" t="s">
        <v>245</v>
      </c>
      <c r="D319" s="1">
        <v>40363</v>
      </c>
      <c r="E319" s="1">
        <v>6</v>
      </c>
    </row>
    <row r="320" spans="1:5" ht="14.25" customHeight="1" x14ac:dyDescent="0.25">
      <c r="A320" s="1" t="s">
        <v>31</v>
      </c>
      <c r="B320" s="1" t="s">
        <v>246</v>
      </c>
      <c r="C320" s="1" t="s">
        <v>245</v>
      </c>
      <c r="D320" s="1">
        <v>97808</v>
      </c>
      <c r="E320" s="1">
        <v>7</v>
      </c>
    </row>
    <row r="321" spans="1:5" ht="14.25" customHeight="1" x14ac:dyDescent="0.25">
      <c r="A321" s="1" t="s">
        <v>10</v>
      </c>
      <c r="B321" s="1" t="s">
        <v>216</v>
      </c>
      <c r="C321" s="1" t="s">
        <v>245</v>
      </c>
      <c r="D321" s="1">
        <v>82485</v>
      </c>
      <c r="E321" s="1">
        <v>7</v>
      </c>
    </row>
    <row r="322" spans="1:5" ht="14.25" customHeight="1" x14ac:dyDescent="0.25">
      <c r="A322" s="1" t="s">
        <v>76</v>
      </c>
      <c r="B322" s="1" t="s">
        <v>39</v>
      </c>
      <c r="C322" s="1" t="s">
        <v>245</v>
      </c>
      <c r="D322" s="1">
        <v>86956</v>
      </c>
      <c r="E322" s="1">
        <v>2</v>
      </c>
    </row>
    <row r="323" spans="1:5" ht="14.25" customHeight="1" x14ac:dyDescent="0.25">
      <c r="A323" s="1" t="s">
        <v>40</v>
      </c>
      <c r="B323" s="1" t="s">
        <v>247</v>
      </c>
      <c r="C323" s="1" t="s">
        <v>245</v>
      </c>
      <c r="D323" s="1">
        <v>81617</v>
      </c>
      <c r="E323" s="1">
        <v>10</v>
      </c>
    </row>
    <row r="324" spans="1:5" ht="14.25" customHeight="1" x14ac:dyDescent="0.25">
      <c r="A324" s="1" t="s">
        <v>23</v>
      </c>
      <c r="B324" s="1" t="s">
        <v>62</v>
      </c>
      <c r="C324" s="1" t="s">
        <v>248</v>
      </c>
      <c r="D324" s="1">
        <v>89777</v>
      </c>
      <c r="E324" s="1">
        <v>0</v>
      </c>
    </row>
    <row r="325" spans="1:5" ht="14.25" customHeight="1" x14ac:dyDescent="0.25">
      <c r="A325" s="1" t="s">
        <v>31</v>
      </c>
      <c r="B325" s="1" t="s">
        <v>163</v>
      </c>
      <c r="C325" s="1" t="s">
        <v>248</v>
      </c>
      <c r="D325" s="1">
        <v>93896</v>
      </c>
      <c r="E325" s="1">
        <v>6</v>
      </c>
    </row>
    <row r="326" spans="1:5" ht="14.25" customHeight="1" x14ac:dyDescent="0.25">
      <c r="A326" s="1" t="s">
        <v>76</v>
      </c>
      <c r="B326" s="1" t="s">
        <v>249</v>
      </c>
      <c r="C326" s="1" t="s">
        <v>250</v>
      </c>
      <c r="D326" s="1">
        <v>11275</v>
      </c>
      <c r="E326" s="1">
        <v>4</v>
      </c>
    </row>
    <row r="327" spans="1:5" ht="14.25" customHeight="1" x14ac:dyDescent="0.25">
      <c r="A327" s="1" t="s">
        <v>51</v>
      </c>
      <c r="B327" s="1" t="s">
        <v>251</v>
      </c>
      <c r="C327" s="1" t="s">
        <v>250</v>
      </c>
      <c r="D327" s="1">
        <v>30412</v>
      </c>
      <c r="E327" s="1">
        <v>9</v>
      </c>
    </row>
    <row r="328" spans="1:5" ht="14.25" customHeight="1" x14ac:dyDescent="0.25">
      <c r="A328" s="1" t="s">
        <v>10</v>
      </c>
      <c r="B328" s="1" t="s">
        <v>228</v>
      </c>
      <c r="C328" s="1" t="s">
        <v>250</v>
      </c>
      <c r="D328" s="1">
        <v>45657</v>
      </c>
      <c r="E328" s="1">
        <v>7</v>
      </c>
    </row>
    <row r="329" spans="1:5" ht="14.25" customHeight="1" x14ac:dyDescent="0.25">
      <c r="A329" s="1" t="s">
        <v>10</v>
      </c>
      <c r="B329" s="1" t="s">
        <v>91</v>
      </c>
      <c r="C329" s="1" t="s">
        <v>250</v>
      </c>
      <c r="D329" s="1">
        <v>28110</v>
      </c>
      <c r="E329" s="1">
        <v>9</v>
      </c>
    </row>
    <row r="330" spans="1:5" ht="14.25" customHeight="1" x14ac:dyDescent="0.25">
      <c r="A330" s="1" t="s">
        <v>15</v>
      </c>
      <c r="B330" s="1" t="s">
        <v>151</v>
      </c>
      <c r="C330" s="1" t="s">
        <v>250</v>
      </c>
      <c r="D330" s="1">
        <v>92745</v>
      </c>
      <c r="E330" s="1">
        <v>4</v>
      </c>
    </row>
    <row r="331" spans="1:5" ht="14.25" customHeight="1" x14ac:dyDescent="0.25">
      <c r="A331" s="1" t="s">
        <v>13</v>
      </c>
      <c r="B331" s="1" t="s">
        <v>252</v>
      </c>
      <c r="C331" s="1" t="s">
        <v>250</v>
      </c>
      <c r="D331" s="1">
        <v>53799</v>
      </c>
      <c r="E331" s="1">
        <v>7</v>
      </c>
    </row>
    <row r="332" spans="1:5" ht="14.25" customHeight="1" x14ac:dyDescent="0.25">
      <c r="A332" s="1" t="s">
        <v>31</v>
      </c>
      <c r="B332" s="1" t="s">
        <v>251</v>
      </c>
      <c r="C332" s="1" t="s">
        <v>250</v>
      </c>
      <c r="D332" s="1">
        <v>76810</v>
      </c>
      <c r="E332" s="1">
        <v>8</v>
      </c>
    </row>
    <row r="333" spans="1:5" ht="14.25" customHeight="1" x14ac:dyDescent="0.25">
      <c r="A333" s="1" t="s">
        <v>10</v>
      </c>
      <c r="B333" s="1" t="s">
        <v>193</v>
      </c>
      <c r="C333" s="1" t="s">
        <v>250</v>
      </c>
      <c r="D333" s="1">
        <v>22347</v>
      </c>
      <c r="E333" s="1">
        <v>6</v>
      </c>
    </row>
    <row r="334" spans="1:5" ht="14.25" customHeight="1" x14ac:dyDescent="0.25">
      <c r="A334" s="1" t="s">
        <v>10</v>
      </c>
      <c r="B334" s="1" t="s">
        <v>253</v>
      </c>
      <c r="C334" s="1" t="s">
        <v>250</v>
      </c>
      <c r="D334" s="1">
        <v>40173</v>
      </c>
      <c r="E334" s="1">
        <v>2</v>
      </c>
    </row>
    <row r="335" spans="1:5" ht="14.25" customHeight="1" x14ac:dyDescent="0.25">
      <c r="A335" s="1" t="s">
        <v>51</v>
      </c>
      <c r="B335" s="1" t="s">
        <v>121</v>
      </c>
      <c r="C335" s="1" t="s">
        <v>254</v>
      </c>
      <c r="D335" s="1">
        <v>71459</v>
      </c>
      <c r="E335" s="1">
        <v>6</v>
      </c>
    </row>
    <row r="336" spans="1:5" ht="14.25" customHeight="1" x14ac:dyDescent="0.25">
      <c r="A336" s="1" t="s">
        <v>13</v>
      </c>
      <c r="B336" s="1" t="s">
        <v>255</v>
      </c>
      <c r="C336" s="1" t="s">
        <v>254</v>
      </c>
      <c r="D336" s="1">
        <v>46445</v>
      </c>
      <c r="E336" s="1">
        <v>8</v>
      </c>
    </row>
    <row r="337" spans="1:5" ht="14.25" customHeight="1" x14ac:dyDescent="0.25">
      <c r="A337" s="1" t="s">
        <v>15</v>
      </c>
      <c r="B337" s="1" t="s">
        <v>256</v>
      </c>
      <c r="C337" s="1" t="s">
        <v>254</v>
      </c>
      <c r="D337" s="1">
        <v>23051</v>
      </c>
      <c r="E337" s="1">
        <v>4</v>
      </c>
    </row>
    <row r="338" spans="1:5" ht="14.25" customHeight="1" x14ac:dyDescent="0.25">
      <c r="A338" s="1" t="s">
        <v>40</v>
      </c>
      <c r="B338" s="1" t="s">
        <v>82</v>
      </c>
      <c r="C338" s="1" t="s">
        <v>254</v>
      </c>
      <c r="D338" s="1">
        <v>67840</v>
      </c>
      <c r="E338" s="1">
        <v>5</v>
      </c>
    </row>
    <row r="339" spans="1:5" ht="14.25" customHeight="1" x14ac:dyDescent="0.25">
      <c r="A339" s="1" t="s">
        <v>51</v>
      </c>
      <c r="B339" s="1" t="s">
        <v>37</v>
      </c>
      <c r="C339" s="1" t="s">
        <v>254</v>
      </c>
      <c r="D339" s="1">
        <v>39166</v>
      </c>
      <c r="E339" s="1">
        <v>6</v>
      </c>
    </row>
    <row r="340" spans="1:5" ht="14.25" customHeight="1" x14ac:dyDescent="0.25">
      <c r="A340" s="1" t="s">
        <v>5</v>
      </c>
      <c r="B340" s="1" t="s">
        <v>35</v>
      </c>
      <c r="C340" s="1" t="s">
        <v>254</v>
      </c>
      <c r="D340" s="1">
        <v>85033</v>
      </c>
      <c r="E340" s="1">
        <v>3</v>
      </c>
    </row>
    <row r="341" spans="1:5" ht="14.25" customHeight="1" x14ac:dyDescent="0.25">
      <c r="A341" s="1" t="s">
        <v>5</v>
      </c>
      <c r="B341" s="1" t="s">
        <v>68</v>
      </c>
      <c r="C341" s="1" t="s">
        <v>257</v>
      </c>
      <c r="D341" s="1">
        <v>17572</v>
      </c>
      <c r="E341" s="1">
        <v>2</v>
      </c>
    </row>
    <row r="342" spans="1:5" ht="14.25" customHeight="1" x14ac:dyDescent="0.25">
      <c r="A342" s="1" t="s">
        <v>27</v>
      </c>
      <c r="B342" s="1" t="s">
        <v>21</v>
      </c>
      <c r="C342" s="1" t="s">
        <v>257</v>
      </c>
      <c r="D342" s="1">
        <v>30818</v>
      </c>
      <c r="E342" s="1">
        <v>8</v>
      </c>
    </row>
    <row r="343" spans="1:5" ht="14.25" customHeight="1" x14ac:dyDescent="0.25">
      <c r="A343" s="1" t="s">
        <v>23</v>
      </c>
      <c r="B343" s="1" t="s">
        <v>232</v>
      </c>
      <c r="C343" s="1" t="s">
        <v>258</v>
      </c>
      <c r="D343" s="1">
        <v>29237</v>
      </c>
      <c r="E343" s="1">
        <v>8</v>
      </c>
    </row>
    <row r="344" spans="1:5" ht="14.25" customHeight="1" x14ac:dyDescent="0.25">
      <c r="A344" s="1" t="s">
        <v>31</v>
      </c>
      <c r="B344" s="1" t="s">
        <v>259</v>
      </c>
      <c r="C344" s="1" t="s">
        <v>260</v>
      </c>
      <c r="D344" s="1">
        <v>57033</v>
      </c>
      <c r="E344" s="1">
        <v>4</v>
      </c>
    </row>
    <row r="345" spans="1:5" ht="14.25" customHeight="1" x14ac:dyDescent="0.25">
      <c r="A345" s="1" t="s">
        <v>40</v>
      </c>
      <c r="B345" s="1" t="s">
        <v>98</v>
      </c>
      <c r="C345" s="1" t="s">
        <v>260</v>
      </c>
      <c r="D345" s="1">
        <v>46953</v>
      </c>
      <c r="E345" s="1">
        <v>5</v>
      </c>
    </row>
    <row r="346" spans="1:5" ht="14.25" customHeight="1" x14ac:dyDescent="0.25">
      <c r="A346" s="1" t="s">
        <v>31</v>
      </c>
      <c r="B346" s="1" t="s">
        <v>144</v>
      </c>
      <c r="C346" s="1" t="s">
        <v>260</v>
      </c>
      <c r="D346" s="1">
        <v>69669</v>
      </c>
      <c r="E346" s="1">
        <v>1</v>
      </c>
    </row>
    <row r="347" spans="1:5" ht="14.25" customHeight="1" x14ac:dyDescent="0.25">
      <c r="A347" s="1" t="s">
        <v>5</v>
      </c>
      <c r="B347" s="1" t="s">
        <v>38</v>
      </c>
      <c r="C347" s="1" t="s">
        <v>260</v>
      </c>
      <c r="D347" s="1">
        <v>83627</v>
      </c>
      <c r="E347" s="1">
        <v>3</v>
      </c>
    </row>
    <row r="348" spans="1:5" ht="14.25" customHeight="1" x14ac:dyDescent="0.25">
      <c r="A348" s="1" t="s">
        <v>66</v>
      </c>
      <c r="B348" s="1" t="s">
        <v>59</v>
      </c>
      <c r="C348" s="1" t="s">
        <v>260</v>
      </c>
      <c r="D348" s="1">
        <v>77454</v>
      </c>
      <c r="E348" s="1">
        <v>4</v>
      </c>
    </row>
    <row r="349" spans="1:5" ht="14.25" customHeight="1" x14ac:dyDescent="0.25">
      <c r="A349" s="1" t="s">
        <v>76</v>
      </c>
      <c r="B349" s="1" t="s">
        <v>261</v>
      </c>
      <c r="C349" s="1" t="s">
        <v>260</v>
      </c>
      <c r="D349" s="1">
        <v>47725</v>
      </c>
      <c r="E349" s="1">
        <v>7</v>
      </c>
    </row>
    <row r="350" spans="1:5" ht="14.25" customHeight="1" x14ac:dyDescent="0.25">
      <c r="A350" s="1" t="s">
        <v>15</v>
      </c>
      <c r="B350" s="1" t="s">
        <v>88</v>
      </c>
      <c r="C350" s="1" t="s">
        <v>260</v>
      </c>
      <c r="D350" s="1">
        <v>90871</v>
      </c>
      <c r="E350" s="1">
        <v>6</v>
      </c>
    </row>
    <row r="351" spans="1:5" ht="14.25" customHeight="1" x14ac:dyDescent="0.25">
      <c r="A351" s="1" t="s">
        <v>51</v>
      </c>
      <c r="B351" s="1" t="s">
        <v>189</v>
      </c>
      <c r="C351" s="1" t="s">
        <v>260</v>
      </c>
      <c r="D351" s="1">
        <v>63035</v>
      </c>
      <c r="E351" s="1">
        <v>6</v>
      </c>
    </row>
    <row r="352" spans="1:5" ht="14.25" customHeight="1" x14ac:dyDescent="0.25">
      <c r="A352" s="1" t="s">
        <v>40</v>
      </c>
      <c r="B352" s="1" t="s">
        <v>43</v>
      </c>
      <c r="C352" s="1" t="s">
        <v>260</v>
      </c>
      <c r="D352" s="1">
        <v>86041</v>
      </c>
      <c r="E352" s="1">
        <v>4</v>
      </c>
    </row>
    <row r="353" spans="1:5" ht="14.25" customHeight="1" x14ac:dyDescent="0.25">
      <c r="A353" s="1" t="s">
        <v>27</v>
      </c>
      <c r="B353" s="1" t="s">
        <v>262</v>
      </c>
      <c r="C353" s="1" t="s">
        <v>260</v>
      </c>
      <c r="D353" s="1">
        <v>75326</v>
      </c>
      <c r="E353" s="1">
        <v>5</v>
      </c>
    </row>
    <row r="354" spans="1:5" ht="14.25" customHeight="1" x14ac:dyDescent="0.25">
      <c r="A354" s="1" t="s">
        <v>51</v>
      </c>
      <c r="B354" s="1" t="s">
        <v>198</v>
      </c>
      <c r="C354" s="1" t="s">
        <v>263</v>
      </c>
      <c r="D354" s="1">
        <v>22817</v>
      </c>
      <c r="E354" s="1">
        <v>4</v>
      </c>
    </row>
    <row r="355" spans="1:5" ht="14.25" customHeight="1" x14ac:dyDescent="0.25">
      <c r="A355" s="1" t="s">
        <v>5</v>
      </c>
      <c r="B355" s="1" t="s">
        <v>206</v>
      </c>
      <c r="C355" s="1" t="s">
        <v>263</v>
      </c>
      <c r="D355" s="1">
        <v>35284</v>
      </c>
      <c r="E355" s="1">
        <v>3</v>
      </c>
    </row>
    <row r="356" spans="1:5" ht="14.25" customHeight="1" x14ac:dyDescent="0.25">
      <c r="A356" s="1" t="s">
        <v>27</v>
      </c>
      <c r="B356" s="1" t="s">
        <v>187</v>
      </c>
      <c r="C356" s="1" t="s">
        <v>263</v>
      </c>
      <c r="D356" s="1">
        <v>40828</v>
      </c>
      <c r="E356" s="1">
        <v>1</v>
      </c>
    </row>
    <row r="357" spans="1:5" ht="14.25" customHeight="1" x14ac:dyDescent="0.25">
      <c r="A357" s="1" t="s">
        <v>13</v>
      </c>
      <c r="B357" s="1" t="s">
        <v>126</v>
      </c>
      <c r="C357" s="1" t="s">
        <v>264</v>
      </c>
      <c r="D357" s="1">
        <v>17939</v>
      </c>
      <c r="E357" s="1">
        <v>5</v>
      </c>
    </row>
    <row r="358" spans="1:5" ht="14.25" customHeight="1" x14ac:dyDescent="0.25">
      <c r="A358" s="1" t="s">
        <v>76</v>
      </c>
      <c r="B358" s="1" t="s">
        <v>228</v>
      </c>
      <c r="C358" s="1" t="s">
        <v>265</v>
      </c>
      <c r="D358" s="1">
        <v>70685</v>
      </c>
      <c r="E358" s="1">
        <v>7</v>
      </c>
    </row>
    <row r="359" spans="1:5" ht="14.25" customHeight="1" x14ac:dyDescent="0.25">
      <c r="A359" s="1" t="s">
        <v>15</v>
      </c>
      <c r="B359" s="1" t="s">
        <v>72</v>
      </c>
      <c r="C359" s="1" t="s">
        <v>265</v>
      </c>
      <c r="D359" s="1">
        <v>64468</v>
      </c>
      <c r="E359" s="1">
        <v>7</v>
      </c>
    </row>
    <row r="360" spans="1:5" ht="14.25" customHeight="1" x14ac:dyDescent="0.25">
      <c r="A360" s="1" t="s">
        <v>10</v>
      </c>
      <c r="B360" s="1" t="s">
        <v>111</v>
      </c>
      <c r="C360" s="1" t="s">
        <v>265</v>
      </c>
      <c r="D360" s="1">
        <v>12053</v>
      </c>
      <c r="E360" s="1">
        <v>10</v>
      </c>
    </row>
    <row r="361" spans="1:5" ht="14.25" customHeight="1" x14ac:dyDescent="0.25">
      <c r="A361" s="1" t="s">
        <v>27</v>
      </c>
      <c r="B361" s="1" t="s">
        <v>266</v>
      </c>
      <c r="C361" s="1" t="s">
        <v>265</v>
      </c>
      <c r="D361" s="1">
        <v>40462</v>
      </c>
      <c r="E361" s="1">
        <v>7</v>
      </c>
    </row>
    <row r="362" spans="1:5" ht="14.25" customHeight="1" x14ac:dyDescent="0.25">
      <c r="A362" s="1" t="s">
        <v>15</v>
      </c>
      <c r="B362" s="1" t="s">
        <v>52</v>
      </c>
      <c r="C362" s="1" t="s">
        <v>267</v>
      </c>
      <c r="D362" s="1">
        <v>77664</v>
      </c>
      <c r="E362" s="1">
        <v>7</v>
      </c>
    </row>
    <row r="363" spans="1:5" ht="14.25" customHeight="1" x14ac:dyDescent="0.25">
      <c r="A363" s="1" t="s">
        <v>5</v>
      </c>
      <c r="B363" s="1" t="s">
        <v>268</v>
      </c>
      <c r="C363" s="1" t="s">
        <v>267</v>
      </c>
      <c r="D363" s="1">
        <v>24644</v>
      </c>
      <c r="E363" s="1">
        <v>2</v>
      </c>
    </row>
    <row r="364" spans="1:5" ht="14.25" customHeight="1" x14ac:dyDescent="0.25">
      <c r="A364" s="1" t="s">
        <v>15</v>
      </c>
      <c r="B364" s="1" t="s">
        <v>161</v>
      </c>
      <c r="C364" s="1" t="s">
        <v>269</v>
      </c>
      <c r="D364" s="1">
        <v>69151</v>
      </c>
      <c r="E364" s="1">
        <v>3</v>
      </c>
    </row>
    <row r="365" spans="1:5" ht="14.25" customHeight="1" x14ac:dyDescent="0.25">
      <c r="A365" s="1" t="s">
        <v>13</v>
      </c>
      <c r="B365" s="1" t="s">
        <v>121</v>
      </c>
      <c r="C365" s="1" t="s">
        <v>269</v>
      </c>
      <c r="D365" s="1">
        <v>11560</v>
      </c>
      <c r="E365" s="1">
        <v>7</v>
      </c>
    </row>
    <row r="366" spans="1:5" ht="14.25" customHeight="1" x14ac:dyDescent="0.25">
      <c r="A366" s="1" t="s">
        <v>5</v>
      </c>
      <c r="B366" s="1" t="s">
        <v>163</v>
      </c>
      <c r="C366" s="1" t="s">
        <v>269</v>
      </c>
      <c r="D366" s="1">
        <v>96666</v>
      </c>
      <c r="E366" s="1">
        <v>1</v>
      </c>
    </row>
    <row r="367" spans="1:5" ht="14.25" customHeight="1" x14ac:dyDescent="0.25">
      <c r="A367" s="1" t="s">
        <v>10</v>
      </c>
      <c r="B367" s="1" t="s">
        <v>133</v>
      </c>
      <c r="C367" s="1" t="s">
        <v>269</v>
      </c>
      <c r="D367" s="1">
        <v>17175</v>
      </c>
      <c r="E367" s="1">
        <v>5</v>
      </c>
    </row>
    <row r="368" spans="1:5" ht="14.25" customHeight="1" x14ac:dyDescent="0.25">
      <c r="A368" s="1" t="s">
        <v>76</v>
      </c>
      <c r="B368" s="1" t="s">
        <v>243</v>
      </c>
      <c r="C368" s="1" t="s">
        <v>269</v>
      </c>
      <c r="D368" s="1">
        <v>66854</v>
      </c>
      <c r="E368" s="1">
        <v>6</v>
      </c>
    </row>
    <row r="369" spans="1:5" ht="14.25" customHeight="1" x14ac:dyDescent="0.25">
      <c r="A369" s="1" t="s">
        <v>8</v>
      </c>
      <c r="B369" s="1" t="s">
        <v>270</v>
      </c>
      <c r="C369" s="1" t="s">
        <v>269</v>
      </c>
      <c r="D369" s="1">
        <v>21978</v>
      </c>
      <c r="E369" s="1">
        <v>7</v>
      </c>
    </row>
    <row r="370" spans="1:5" ht="14.25" customHeight="1" x14ac:dyDescent="0.25">
      <c r="A370" s="1" t="s">
        <v>13</v>
      </c>
      <c r="B370" s="1" t="s">
        <v>207</v>
      </c>
      <c r="C370" s="1" t="s">
        <v>271</v>
      </c>
      <c r="D370" s="1">
        <v>77313</v>
      </c>
      <c r="E370" s="1">
        <v>3</v>
      </c>
    </row>
    <row r="371" spans="1:5" ht="14.25" customHeight="1" x14ac:dyDescent="0.25">
      <c r="A371" s="1" t="s">
        <v>8</v>
      </c>
      <c r="B371" s="1" t="s">
        <v>242</v>
      </c>
      <c r="C371" s="1" t="s">
        <v>271</v>
      </c>
      <c r="D371" s="1">
        <v>13999</v>
      </c>
      <c r="E371" s="1">
        <v>9</v>
      </c>
    </row>
    <row r="372" spans="1:5" ht="14.25" customHeight="1" x14ac:dyDescent="0.25">
      <c r="A372" s="1" t="s">
        <v>76</v>
      </c>
      <c r="B372" s="1" t="s">
        <v>30</v>
      </c>
      <c r="C372" s="1" t="s">
        <v>271</v>
      </c>
      <c r="D372" s="1">
        <v>83816</v>
      </c>
      <c r="E372" s="1">
        <v>5</v>
      </c>
    </row>
    <row r="373" spans="1:5" ht="14.25" customHeight="1" x14ac:dyDescent="0.25">
      <c r="A373" s="1" t="s">
        <v>5</v>
      </c>
      <c r="B373" s="1" t="s">
        <v>137</v>
      </c>
      <c r="C373" s="1" t="s">
        <v>271</v>
      </c>
      <c r="D373" s="1">
        <v>21360</v>
      </c>
      <c r="E373" s="1">
        <v>5</v>
      </c>
    </row>
    <row r="374" spans="1:5" ht="14.25" customHeight="1" x14ac:dyDescent="0.25">
      <c r="A374" s="1" t="s">
        <v>51</v>
      </c>
      <c r="B374" s="1" t="s">
        <v>251</v>
      </c>
      <c r="C374" s="1" t="s">
        <v>271</v>
      </c>
      <c r="D374" s="1">
        <v>87581</v>
      </c>
      <c r="E374" s="1">
        <v>5</v>
      </c>
    </row>
    <row r="375" spans="1:5" ht="14.25" customHeight="1" x14ac:dyDescent="0.25">
      <c r="A375" s="1" t="s">
        <v>40</v>
      </c>
      <c r="B375" s="1" t="s">
        <v>272</v>
      </c>
      <c r="C375" s="1" t="s">
        <v>271</v>
      </c>
      <c r="D375" s="1">
        <v>18148</v>
      </c>
      <c r="E375" s="1">
        <v>10</v>
      </c>
    </row>
    <row r="376" spans="1:5" ht="14.25" customHeight="1" x14ac:dyDescent="0.25">
      <c r="A376" s="1" t="s">
        <v>76</v>
      </c>
      <c r="B376" s="1" t="s">
        <v>67</v>
      </c>
      <c r="C376" s="1" t="s">
        <v>273</v>
      </c>
      <c r="D376" s="1">
        <v>75232</v>
      </c>
      <c r="E376" s="1">
        <v>8</v>
      </c>
    </row>
    <row r="377" spans="1:5" ht="14.25" customHeight="1" x14ac:dyDescent="0.25">
      <c r="A377" s="1" t="s">
        <v>8</v>
      </c>
      <c r="B377" s="1" t="s">
        <v>83</v>
      </c>
      <c r="C377" s="1" t="s">
        <v>273</v>
      </c>
      <c r="D377" s="1">
        <v>57049</v>
      </c>
      <c r="E377" s="1">
        <v>8</v>
      </c>
    </row>
    <row r="378" spans="1:5" ht="14.25" customHeight="1" x14ac:dyDescent="0.25">
      <c r="A378" s="1" t="s">
        <v>5</v>
      </c>
      <c r="B378" s="1" t="s">
        <v>50</v>
      </c>
      <c r="C378" s="1" t="s">
        <v>274</v>
      </c>
      <c r="D378" s="1">
        <v>32842</v>
      </c>
      <c r="E378" s="1">
        <v>10</v>
      </c>
    </row>
    <row r="379" spans="1:5" ht="14.25" customHeight="1" x14ac:dyDescent="0.25">
      <c r="A379" s="1" t="s">
        <v>76</v>
      </c>
      <c r="B379" s="1" t="s">
        <v>69</v>
      </c>
      <c r="C379" s="1" t="s">
        <v>274</v>
      </c>
      <c r="D379" s="1">
        <v>30176</v>
      </c>
      <c r="E379" s="1">
        <v>5</v>
      </c>
    </row>
    <row r="380" spans="1:5" ht="14.25" customHeight="1" x14ac:dyDescent="0.25">
      <c r="A380" s="1" t="s">
        <v>15</v>
      </c>
      <c r="B380" s="1" t="s">
        <v>49</v>
      </c>
      <c r="C380" s="1" t="s">
        <v>275</v>
      </c>
      <c r="D380" s="1">
        <v>90430</v>
      </c>
      <c r="E380" s="1">
        <v>4</v>
      </c>
    </row>
    <row r="381" spans="1:5" ht="14.25" customHeight="1" x14ac:dyDescent="0.25">
      <c r="A381" s="1" t="s">
        <v>66</v>
      </c>
      <c r="B381" s="1" t="s">
        <v>251</v>
      </c>
      <c r="C381" s="1" t="s">
        <v>275</v>
      </c>
      <c r="D381" s="1">
        <v>29172</v>
      </c>
      <c r="E381" s="1">
        <v>10</v>
      </c>
    </row>
    <row r="382" spans="1:5" ht="14.25" customHeight="1" x14ac:dyDescent="0.25">
      <c r="A382" s="1" t="s">
        <v>66</v>
      </c>
      <c r="B382" s="1" t="s">
        <v>98</v>
      </c>
      <c r="C382" s="1" t="s">
        <v>275</v>
      </c>
      <c r="D382" s="1">
        <v>73006</v>
      </c>
      <c r="E382" s="1">
        <v>8</v>
      </c>
    </row>
    <row r="383" spans="1:5" ht="14.25" customHeight="1" x14ac:dyDescent="0.25">
      <c r="A383" s="1" t="s">
        <v>23</v>
      </c>
      <c r="B383" s="1" t="s">
        <v>59</v>
      </c>
      <c r="C383" s="1" t="s">
        <v>275</v>
      </c>
      <c r="D383" s="1">
        <v>99468</v>
      </c>
      <c r="E383" s="1">
        <v>6</v>
      </c>
    </row>
    <row r="384" spans="1:5" ht="14.25" customHeight="1" x14ac:dyDescent="0.25">
      <c r="A384" s="1" t="s">
        <v>10</v>
      </c>
      <c r="B384" s="1" t="s">
        <v>276</v>
      </c>
      <c r="C384" s="1" t="s">
        <v>275</v>
      </c>
      <c r="D384" s="1">
        <v>63446</v>
      </c>
      <c r="E384" s="1">
        <v>2</v>
      </c>
    </row>
    <row r="385" spans="1:5" ht="14.25" customHeight="1" x14ac:dyDescent="0.25">
      <c r="A385" s="1" t="s">
        <v>31</v>
      </c>
      <c r="B385" s="1" t="s">
        <v>18</v>
      </c>
      <c r="C385" s="1" t="s">
        <v>275</v>
      </c>
      <c r="D385" s="1">
        <v>97529</v>
      </c>
      <c r="E385" s="1">
        <v>4</v>
      </c>
    </row>
    <row r="386" spans="1:5" ht="14.25" customHeight="1" x14ac:dyDescent="0.25">
      <c r="A386" s="1" t="s">
        <v>51</v>
      </c>
      <c r="B386" s="1" t="s">
        <v>72</v>
      </c>
      <c r="C386" s="1" t="s">
        <v>275</v>
      </c>
      <c r="D386" s="1">
        <v>61453</v>
      </c>
      <c r="E386" s="1">
        <v>7</v>
      </c>
    </row>
    <row r="387" spans="1:5" ht="14.25" customHeight="1" x14ac:dyDescent="0.25">
      <c r="A387" s="1" t="s">
        <v>51</v>
      </c>
      <c r="B387" s="1" t="s">
        <v>215</v>
      </c>
      <c r="C387" s="1" t="s">
        <v>275</v>
      </c>
      <c r="D387" s="1">
        <v>57588</v>
      </c>
      <c r="E387" s="1">
        <v>5</v>
      </c>
    </row>
    <row r="388" spans="1:5" ht="14.25" customHeight="1" x14ac:dyDescent="0.25">
      <c r="A388" s="1" t="s">
        <v>51</v>
      </c>
      <c r="B388" s="1" t="s">
        <v>232</v>
      </c>
      <c r="C388" s="1" t="s">
        <v>275</v>
      </c>
      <c r="D388" s="1">
        <v>79115</v>
      </c>
      <c r="E388" s="1">
        <v>8</v>
      </c>
    </row>
    <row r="389" spans="1:5" ht="14.25" customHeight="1" x14ac:dyDescent="0.25">
      <c r="A389" s="1" t="s">
        <v>5</v>
      </c>
      <c r="B389" s="1" t="s">
        <v>276</v>
      </c>
      <c r="C389" s="1" t="s">
        <v>275</v>
      </c>
      <c r="D389" s="1">
        <v>92552</v>
      </c>
      <c r="E389" s="1">
        <v>7</v>
      </c>
    </row>
    <row r="390" spans="1:5" ht="14.25" customHeight="1" x14ac:dyDescent="0.25">
      <c r="A390" s="1" t="s">
        <v>10</v>
      </c>
      <c r="B390" s="1" t="s">
        <v>119</v>
      </c>
      <c r="C390" s="1" t="s">
        <v>277</v>
      </c>
      <c r="D390" s="1">
        <v>73705</v>
      </c>
      <c r="E390" s="1">
        <v>3</v>
      </c>
    </row>
    <row r="391" spans="1:5" ht="14.25" customHeight="1" x14ac:dyDescent="0.25">
      <c r="A391" s="1" t="s">
        <v>5</v>
      </c>
      <c r="B391" s="1" t="s">
        <v>122</v>
      </c>
      <c r="C391" s="1" t="s">
        <v>277</v>
      </c>
      <c r="D391" s="1">
        <v>86423</v>
      </c>
      <c r="E391" s="1">
        <v>5</v>
      </c>
    </row>
    <row r="392" spans="1:5" ht="14.25" customHeight="1" x14ac:dyDescent="0.25">
      <c r="A392" s="1" t="s">
        <v>31</v>
      </c>
      <c r="B392" s="1" t="s">
        <v>278</v>
      </c>
      <c r="C392" s="1" t="s">
        <v>277</v>
      </c>
      <c r="D392" s="1">
        <v>25476</v>
      </c>
      <c r="E392" s="1">
        <v>7</v>
      </c>
    </row>
    <row r="393" spans="1:5" ht="14.25" customHeight="1" x14ac:dyDescent="0.25">
      <c r="A393" s="1" t="s">
        <v>13</v>
      </c>
      <c r="B393" s="1" t="s">
        <v>116</v>
      </c>
      <c r="C393" s="1" t="s">
        <v>277</v>
      </c>
      <c r="D393" s="1">
        <v>12065</v>
      </c>
      <c r="E393" s="1">
        <v>5</v>
      </c>
    </row>
    <row r="394" spans="1:5" ht="14.25" customHeight="1" x14ac:dyDescent="0.25">
      <c r="A394" s="1" t="s">
        <v>40</v>
      </c>
      <c r="B394" s="1" t="s">
        <v>111</v>
      </c>
      <c r="C394" s="1" t="s">
        <v>277</v>
      </c>
      <c r="D394" s="1">
        <v>43864</v>
      </c>
      <c r="E394" s="1">
        <v>4</v>
      </c>
    </row>
    <row r="395" spans="1:5" ht="14.25" customHeight="1" x14ac:dyDescent="0.25">
      <c r="A395" s="1" t="s">
        <v>27</v>
      </c>
      <c r="B395" s="1" t="s">
        <v>172</v>
      </c>
      <c r="C395" s="1" t="s">
        <v>279</v>
      </c>
      <c r="D395" s="1">
        <v>29318</v>
      </c>
      <c r="E395" s="1">
        <v>9</v>
      </c>
    </row>
    <row r="396" spans="1:5" ht="14.25" customHeight="1" x14ac:dyDescent="0.25">
      <c r="A396" s="1" t="s">
        <v>10</v>
      </c>
      <c r="B396" s="1" t="s">
        <v>191</v>
      </c>
      <c r="C396" s="1" t="s">
        <v>279</v>
      </c>
      <c r="D396" s="1">
        <v>62124</v>
      </c>
      <c r="E396" s="1">
        <v>5</v>
      </c>
    </row>
    <row r="397" spans="1:5" ht="14.25" customHeight="1" x14ac:dyDescent="0.25">
      <c r="A397" s="1" t="s">
        <v>66</v>
      </c>
      <c r="B397" s="1" t="s">
        <v>194</v>
      </c>
      <c r="C397" s="1" t="s">
        <v>280</v>
      </c>
      <c r="D397" s="1">
        <v>70274</v>
      </c>
      <c r="E397" s="1">
        <v>9</v>
      </c>
    </row>
    <row r="398" spans="1:5" ht="14.25" customHeight="1" x14ac:dyDescent="0.25">
      <c r="A398" s="1" t="s">
        <v>31</v>
      </c>
      <c r="B398" s="1" t="s">
        <v>35</v>
      </c>
      <c r="C398" s="1" t="s">
        <v>280</v>
      </c>
      <c r="D398" s="1">
        <v>90465</v>
      </c>
      <c r="E398" s="1">
        <v>7</v>
      </c>
    </row>
    <row r="399" spans="1:5" ht="14.25" customHeight="1" x14ac:dyDescent="0.25">
      <c r="A399" s="1" t="s">
        <v>5</v>
      </c>
      <c r="B399" s="1" t="s">
        <v>47</v>
      </c>
      <c r="C399" s="1" t="s">
        <v>281</v>
      </c>
      <c r="D399" s="1">
        <v>60209</v>
      </c>
      <c r="E399" s="1">
        <v>6</v>
      </c>
    </row>
    <row r="400" spans="1:5" ht="14.25" customHeight="1" x14ac:dyDescent="0.25">
      <c r="A400" s="1" t="s">
        <v>8</v>
      </c>
      <c r="B400" s="1" t="s">
        <v>114</v>
      </c>
      <c r="C400" s="1" t="s">
        <v>281</v>
      </c>
      <c r="D400" s="1">
        <v>64054</v>
      </c>
      <c r="E400" s="1">
        <v>7</v>
      </c>
    </row>
    <row r="401" spans="1:5" ht="14.25" customHeight="1" x14ac:dyDescent="0.25">
      <c r="A401" s="1" t="s">
        <v>8</v>
      </c>
      <c r="B401" s="1" t="s">
        <v>266</v>
      </c>
      <c r="C401" s="1" t="s">
        <v>282</v>
      </c>
      <c r="D401" s="1">
        <v>23485</v>
      </c>
      <c r="E401" s="1">
        <v>3</v>
      </c>
    </row>
    <row r="402" spans="1:5" ht="14.25" customHeight="1" x14ac:dyDescent="0.25">
      <c r="A402" s="1" t="s">
        <v>10</v>
      </c>
      <c r="B402" s="1" t="s">
        <v>125</v>
      </c>
      <c r="C402" s="1" t="s">
        <v>282</v>
      </c>
      <c r="D402" s="1">
        <v>72967</v>
      </c>
      <c r="E402" s="1">
        <v>5</v>
      </c>
    </row>
    <row r="403" spans="1:5" ht="14.25" customHeight="1" x14ac:dyDescent="0.25">
      <c r="A403" s="1" t="s">
        <v>51</v>
      </c>
      <c r="B403" s="1" t="s">
        <v>283</v>
      </c>
      <c r="C403" s="1" t="s">
        <v>282</v>
      </c>
      <c r="D403" s="1">
        <v>22228</v>
      </c>
      <c r="E403" s="1">
        <v>6</v>
      </c>
    </row>
    <row r="404" spans="1:5" ht="14.25" customHeight="1" x14ac:dyDescent="0.25">
      <c r="A404" s="1" t="s">
        <v>5</v>
      </c>
      <c r="B404" s="1" t="s">
        <v>215</v>
      </c>
      <c r="C404" s="1" t="s">
        <v>282</v>
      </c>
      <c r="D404" s="1">
        <v>50856</v>
      </c>
      <c r="E404" s="1">
        <v>8</v>
      </c>
    </row>
    <row r="405" spans="1:5" ht="14.25" customHeight="1" x14ac:dyDescent="0.25">
      <c r="A405" s="1" t="s">
        <v>66</v>
      </c>
      <c r="B405" s="1" t="s">
        <v>284</v>
      </c>
      <c r="C405" s="1" t="s">
        <v>282</v>
      </c>
      <c r="D405" s="1">
        <v>40310</v>
      </c>
      <c r="E405" s="1">
        <v>5</v>
      </c>
    </row>
    <row r="406" spans="1:5" ht="14.25" customHeight="1" x14ac:dyDescent="0.25">
      <c r="A406" s="1" t="s">
        <v>40</v>
      </c>
      <c r="B406" s="1" t="s">
        <v>179</v>
      </c>
      <c r="C406" s="1" t="s">
        <v>285</v>
      </c>
      <c r="D406" s="1">
        <v>18636</v>
      </c>
      <c r="E406" s="1">
        <v>6</v>
      </c>
    </row>
    <row r="407" spans="1:5" ht="14.25" customHeight="1" x14ac:dyDescent="0.25">
      <c r="A407" s="1" t="s">
        <v>8</v>
      </c>
      <c r="B407" s="1" t="s">
        <v>70</v>
      </c>
      <c r="C407" s="1" t="s">
        <v>285</v>
      </c>
      <c r="D407" s="1">
        <v>32598</v>
      </c>
      <c r="E407" s="1">
        <v>1</v>
      </c>
    </row>
    <row r="408" spans="1:5" ht="14.25" customHeight="1" x14ac:dyDescent="0.25">
      <c r="A408" s="1" t="s">
        <v>10</v>
      </c>
      <c r="B408" s="1" t="s">
        <v>121</v>
      </c>
      <c r="C408" s="1" t="s">
        <v>285</v>
      </c>
      <c r="D408" s="1">
        <v>42998</v>
      </c>
      <c r="E408" s="1">
        <v>7</v>
      </c>
    </row>
    <row r="409" spans="1:5" ht="14.25" customHeight="1" x14ac:dyDescent="0.25">
      <c r="A409" s="1" t="s">
        <v>13</v>
      </c>
      <c r="B409" s="1" t="s">
        <v>125</v>
      </c>
      <c r="C409" s="1" t="s">
        <v>285</v>
      </c>
      <c r="D409" s="1">
        <v>76596</v>
      </c>
      <c r="E409" s="1">
        <v>7</v>
      </c>
    </row>
    <row r="410" spans="1:5" ht="14.25" customHeight="1" x14ac:dyDescent="0.25">
      <c r="A410" s="1" t="s">
        <v>10</v>
      </c>
      <c r="B410" s="1" t="s">
        <v>286</v>
      </c>
      <c r="C410" s="1" t="s">
        <v>285</v>
      </c>
      <c r="D410" s="1">
        <v>97810</v>
      </c>
      <c r="E410" s="1">
        <v>2</v>
      </c>
    </row>
    <row r="411" spans="1:5" ht="14.25" customHeight="1" x14ac:dyDescent="0.25">
      <c r="A411" s="1" t="s">
        <v>10</v>
      </c>
      <c r="B411" s="1" t="s">
        <v>134</v>
      </c>
      <c r="C411" s="1" t="s">
        <v>287</v>
      </c>
      <c r="D411" s="1">
        <v>13611</v>
      </c>
      <c r="E411" s="1">
        <v>7</v>
      </c>
    </row>
    <row r="412" spans="1:5" ht="14.25" customHeight="1" x14ac:dyDescent="0.25">
      <c r="A412" s="1" t="s">
        <v>23</v>
      </c>
      <c r="B412" s="1" t="s">
        <v>50</v>
      </c>
      <c r="C412" s="1" t="s">
        <v>287</v>
      </c>
      <c r="D412" s="1">
        <v>65572</v>
      </c>
      <c r="E412" s="1">
        <v>5</v>
      </c>
    </row>
    <row r="413" spans="1:5" ht="14.25" customHeight="1" x14ac:dyDescent="0.25">
      <c r="A413" s="1" t="s">
        <v>76</v>
      </c>
      <c r="B413" s="1" t="s">
        <v>288</v>
      </c>
      <c r="C413" s="1" t="s">
        <v>287</v>
      </c>
      <c r="D413" s="1">
        <v>78414</v>
      </c>
      <c r="E413" s="1">
        <v>7</v>
      </c>
    </row>
    <row r="414" spans="1:5" ht="14.25" customHeight="1" x14ac:dyDescent="0.25">
      <c r="A414" s="1" t="s">
        <v>31</v>
      </c>
      <c r="B414" s="1" t="s">
        <v>111</v>
      </c>
      <c r="C414" s="1" t="s">
        <v>287</v>
      </c>
      <c r="D414" s="1">
        <v>44116</v>
      </c>
      <c r="E414" s="1">
        <v>9</v>
      </c>
    </row>
    <row r="415" spans="1:5" ht="14.25" customHeight="1" x14ac:dyDescent="0.25">
      <c r="A415" s="1" t="s">
        <v>10</v>
      </c>
      <c r="B415" s="1" t="s">
        <v>16</v>
      </c>
      <c r="C415" s="1" t="s">
        <v>287</v>
      </c>
      <c r="D415" s="1">
        <v>45710</v>
      </c>
      <c r="E415" s="1">
        <v>9</v>
      </c>
    </row>
    <row r="416" spans="1:5" ht="14.25" customHeight="1" x14ac:dyDescent="0.25">
      <c r="A416" s="1" t="s">
        <v>76</v>
      </c>
      <c r="B416" s="1" t="s">
        <v>246</v>
      </c>
      <c r="C416" s="1" t="s">
        <v>287</v>
      </c>
      <c r="D416" s="1">
        <v>52903</v>
      </c>
      <c r="E416" s="1">
        <v>9</v>
      </c>
    </row>
    <row r="417" spans="1:5" ht="14.25" customHeight="1" x14ac:dyDescent="0.25">
      <c r="A417" s="1" t="s">
        <v>27</v>
      </c>
      <c r="B417" s="1" t="s">
        <v>247</v>
      </c>
      <c r="C417" s="1" t="s">
        <v>287</v>
      </c>
      <c r="D417" s="1">
        <v>72385</v>
      </c>
      <c r="E417" s="1">
        <v>6</v>
      </c>
    </row>
    <row r="418" spans="1:5" ht="14.25" customHeight="1" x14ac:dyDescent="0.25">
      <c r="A418" s="1" t="s">
        <v>27</v>
      </c>
      <c r="B418" s="1" t="s">
        <v>117</v>
      </c>
      <c r="C418" s="1" t="s">
        <v>289</v>
      </c>
      <c r="D418" s="1">
        <v>34030</v>
      </c>
      <c r="E418" s="1">
        <v>5</v>
      </c>
    </row>
    <row r="419" spans="1:5" ht="14.25" customHeight="1" x14ac:dyDescent="0.25">
      <c r="A419" s="1" t="s">
        <v>66</v>
      </c>
      <c r="B419" s="1" t="s">
        <v>60</v>
      </c>
      <c r="C419" s="1" t="s">
        <v>289</v>
      </c>
      <c r="D419" s="1">
        <v>35060</v>
      </c>
      <c r="E419" s="1">
        <v>9</v>
      </c>
    </row>
    <row r="420" spans="1:5" ht="14.25" customHeight="1" x14ac:dyDescent="0.25">
      <c r="A420" s="1" t="s">
        <v>23</v>
      </c>
      <c r="B420" s="1" t="s">
        <v>30</v>
      </c>
      <c r="C420" s="1" t="s">
        <v>290</v>
      </c>
      <c r="D420" s="1">
        <v>69178</v>
      </c>
      <c r="E420" s="1">
        <v>1</v>
      </c>
    </row>
    <row r="421" spans="1:5" ht="14.25" customHeight="1" x14ac:dyDescent="0.25">
      <c r="A421" s="1" t="s">
        <v>8</v>
      </c>
      <c r="B421" s="1" t="s">
        <v>130</v>
      </c>
      <c r="C421" s="1" t="s">
        <v>290</v>
      </c>
      <c r="D421" s="1">
        <v>19803</v>
      </c>
      <c r="E421" s="1">
        <v>6</v>
      </c>
    </row>
    <row r="422" spans="1:5" ht="14.25" customHeight="1" x14ac:dyDescent="0.25">
      <c r="A422" s="1" t="s">
        <v>51</v>
      </c>
      <c r="B422" s="1" t="s">
        <v>184</v>
      </c>
      <c r="C422" s="1" t="s">
        <v>290</v>
      </c>
      <c r="D422" s="1">
        <v>98470</v>
      </c>
      <c r="E422" s="1">
        <v>7</v>
      </c>
    </row>
    <row r="423" spans="1:5" ht="14.25" customHeight="1" x14ac:dyDescent="0.25">
      <c r="A423" s="1" t="s">
        <v>40</v>
      </c>
      <c r="B423" s="1" t="s">
        <v>79</v>
      </c>
      <c r="C423" s="1" t="s">
        <v>290</v>
      </c>
      <c r="D423" s="1">
        <v>42332</v>
      </c>
      <c r="E423" s="1">
        <v>7</v>
      </c>
    </row>
    <row r="424" spans="1:5" ht="14.25" customHeight="1" x14ac:dyDescent="0.25">
      <c r="A424" s="1" t="s">
        <v>66</v>
      </c>
      <c r="B424" s="1" t="s">
        <v>116</v>
      </c>
      <c r="C424" s="1" t="s">
        <v>290</v>
      </c>
      <c r="D424" s="1">
        <v>78935</v>
      </c>
      <c r="E424" s="1">
        <v>7</v>
      </c>
    </row>
    <row r="425" spans="1:5" ht="14.25" customHeight="1" x14ac:dyDescent="0.25">
      <c r="A425" s="1" t="s">
        <v>5</v>
      </c>
      <c r="B425" s="1" t="s">
        <v>158</v>
      </c>
      <c r="C425" s="1" t="s">
        <v>291</v>
      </c>
      <c r="D425" s="1">
        <v>28100</v>
      </c>
      <c r="E425" s="1">
        <v>7</v>
      </c>
    </row>
    <row r="426" spans="1:5" ht="14.25" customHeight="1" x14ac:dyDescent="0.25">
      <c r="A426" s="1" t="s">
        <v>10</v>
      </c>
      <c r="B426" s="1" t="s">
        <v>292</v>
      </c>
      <c r="C426" s="1" t="s">
        <v>291</v>
      </c>
      <c r="D426" s="1">
        <v>97381</v>
      </c>
      <c r="E426" s="1">
        <v>9</v>
      </c>
    </row>
    <row r="427" spans="1:5" ht="14.25" customHeight="1" x14ac:dyDescent="0.25">
      <c r="A427" s="1" t="s">
        <v>40</v>
      </c>
      <c r="B427" s="1" t="s">
        <v>232</v>
      </c>
      <c r="C427" s="1" t="s">
        <v>291</v>
      </c>
      <c r="D427" s="1">
        <v>35924</v>
      </c>
      <c r="E427" s="1">
        <v>1</v>
      </c>
    </row>
    <row r="428" spans="1:5" ht="14.25" customHeight="1" x14ac:dyDescent="0.25">
      <c r="A428" s="1" t="s">
        <v>76</v>
      </c>
      <c r="B428" s="1" t="s">
        <v>293</v>
      </c>
      <c r="C428" s="1" t="s">
        <v>291</v>
      </c>
      <c r="D428" s="1">
        <v>78032</v>
      </c>
      <c r="E428" s="1">
        <v>7</v>
      </c>
    </row>
    <row r="429" spans="1:5" ht="14.25" customHeight="1" x14ac:dyDescent="0.25">
      <c r="A429" s="1" t="s">
        <v>10</v>
      </c>
      <c r="B429" s="1" t="s">
        <v>194</v>
      </c>
      <c r="C429" s="1" t="s">
        <v>291</v>
      </c>
      <c r="D429" s="1">
        <v>92130</v>
      </c>
      <c r="E429" s="1">
        <v>8</v>
      </c>
    </row>
    <row r="430" spans="1:5" ht="14.25" customHeight="1" x14ac:dyDescent="0.25">
      <c r="A430" s="1" t="s">
        <v>76</v>
      </c>
      <c r="B430" s="1" t="s">
        <v>144</v>
      </c>
      <c r="C430" s="1" t="s">
        <v>291</v>
      </c>
      <c r="D430" s="1">
        <v>61937</v>
      </c>
      <c r="E430" s="1">
        <v>6</v>
      </c>
    </row>
    <row r="431" spans="1:5" ht="14.25" customHeight="1" x14ac:dyDescent="0.25">
      <c r="A431" s="1" t="s">
        <v>5</v>
      </c>
      <c r="B431" s="1" t="s">
        <v>28</v>
      </c>
      <c r="C431" s="1" t="s">
        <v>294</v>
      </c>
      <c r="D431" s="1">
        <v>93809</v>
      </c>
      <c r="E431" s="1">
        <v>8</v>
      </c>
    </row>
    <row r="432" spans="1:5" ht="14.25" customHeight="1" x14ac:dyDescent="0.25">
      <c r="A432" s="1" t="s">
        <v>10</v>
      </c>
      <c r="B432" s="1" t="s">
        <v>228</v>
      </c>
      <c r="C432" s="1" t="s">
        <v>295</v>
      </c>
      <c r="D432" s="1">
        <v>26082</v>
      </c>
      <c r="E432" s="1">
        <v>7</v>
      </c>
    </row>
    <row r="433" spans="1:5" ht="14.25" customHeight="1" x14ac:dyDescent="0.25">
      <c r="A433" s="1" t="s">
        <v>15</v>
      </c>
      <c r="B433" s="1" t="s">
        <v>228</v>
      </c>
      <c r="C433" s="1" t="s">
        <v>295</v>
      </c>
      <c r="D433" s="1">
        <v>17671</v>
      </c>
      <c r="E433" s="1">
        <v>7</v>
      </c>
    </row>
    <row r="434" spans="1:5" ht="14.25" customHeight="1" x14ac:dyDescent="0.25">
      <c r="A434" s="1" t="s">
        <v>13</v>
      </c>
      <c r="B434" s="1" t="s">
        <v>41</v>
      </c>
      <c r="C434" s="1" t="s">
        <v>295</v>
      </c>
      <c r="D434" s="1">
        <v>93384</v>
      </c>
      <c r="E434" s="1">
        <v>7</v>
      </c>
    </row>
    <row r="435" spans="1:5" ht="14.25" customHeight="1" x14ac:dyDescent="0.25">
      <c r="A435" s="1" t="s">
        <v>15</v>
      </c>
      <c r="B435" s="1" t="s">
        <v>242</v>
      </c>
      <c r="C435" s="1" t="s">
        <v>295</v>
      </c>
      <c r="D435" s="1">
        <v>79807</v>
      </c>
      <c r="E435" s="1">
        <v>7</v>
      </c>
    </row>
    <row r="436" spans="1:5" ht="14.25" customHeight="1" x14ac:dyDescent="0.25">
      <c r="A436" s="1" t="s">
        <v>15</v>
      </c>
      <c r="B436" s="1" t="s">
        <v>228</v>
      </c>
      <c r="C436" s="1" t="s">
        <v>296</v>
      </c>
      <c r="D436" s="1">
        <v>32298</v>
      </c>
      <c r="E436" s="1">
        <v>1</v>
      </c>
    </row>
    <row r="437" spans="1:5" ht="14.25" customHeight="1" x14ac:dyDescent="0.25">
      <c r="A437" s="1" t="s">
        <v>66</v>
      </c>
      <c r="B437" s="1" t="s">
        <v>119</v>
      </c>
      <c r="C437" s="1" t="s">
        <v>297</v>
      </c>
      <c r="D437" s="1">
        <v>99272</v>
      </c>
      <c r="E437" s="1">
        <v>7</v>
      </c>
    </row>
    <row r="438" spans="1:5" ht="14.25" customHeight="1" x14ac:dyDescent="0.25">
      <c r="A438" s="1" t="s">
        <v>10</v>
      </c>
      <c r="B438" s="1" t="s">
        <v>243</v>
      </c>
      <c r="C438" s="1" t="s">
        <v>297</v>
      </c>
      <c r="D438" s="1">
        <v>24621</v>
      </c>
      <c r="E438" s="1">
        <v>3</v>
      </c>
    </row>
    <row r="439" spans="1:5" ht="14.25" customHeight="1" x14ac:dyDescent="0.25">
      <c r="A439" s="1" t="s">
        <v>8</v>
      </c>
      <c r="B439" s="1" t="s">
        <v>169</v>
      </c>
      <c r="C439" s="1" t="s">
        <v>298</v>
      </c>
      <c r="D439" s="1">
        <v>36872</v>
      </c>
      <c r="E439" s="1">
        <v>4</v>
      </c>
    </row>
    <row r="440" spans="1:5" ht="14.25" customHeight="1" x14ac:dyDescent="0.25">
      <c r="A440" s="1" t="s">
        <v>10</v>
      </c>
      <c r="B440" s="1" t="s">
        <v>270</v>
      </c>
      <c r="C440" s="1" t="s">
        <v>298</v>
      </c>
      <c r="D440" s="1">
        <v>69411</v>
      </c>
      <c r="E440" s="1">
        <v>6</v>
      </c>
    </row>
    <row r="441" spans="1:5" ht="14.25" customHeight="1" x14ac:dyDescent="0.25">
      <c r="A441" s="1" t="s">
        <v>76</v>
      </c>
      <c r="B441" s="1" t="s">
        <v>140</v>
      </c>
      <c r="C441" s="1" t="s">
        <v>298</v>
      </c>
      <c r="D441" s="1">
        <v>31762</v>
      </c>
      <c r="E441" s="1">
        <v>5</v>
      </c>
    </row>
    <row r="442" spans="1:5" ht="14.25" customHeight="1" x14ac:dyDescent="0.25">
      <c r="A442" s="1" t="s">
        <v>51</v>
      </c>
      <c r="B442" s="1" t="s">
        <v>137</v>
      </c>
      <c r="C442" s="1" t="s">
        <v>298</v>
      </c>
      <c r="D442" s="1">
        <v>22598</v>
      </c>
      <c r="E442" s="1">
        <v>6</v>
      </c>
    </row>
    <row r="443" spans="1:5" ht="14.25" customHeight="1" x14ac:dyDescent="0.25">
      <c r="A443" s="1" t="s">
        <v>10</v>
      </c>
      <c r="B443" s="1" t="s">
        <v>299</v>
      </c>
      <c r="C443" s="1" t="s">
        <v>298</v>
      </c>
      <c r="D443" s="1">
        <v>49109</v>
      </c>
      <c r="E443" s="1">
        <v>8</v>
      </c>
    </row>
    <row r="444" spans="1:5" ht="14.25" customHeight="1" x14ac:dyDescent="0.25">
      <c r="A444" s="1" t="s">
        <v>23</v>
      </c>
      <c r="B444" s="1" t="s">
        <v>300</v>
      </c>
      <c r="C444" s="1" t="s">
        <v>298</v>
      </c>
      <c r="D444" s="1">
        <v>91224</v>
      </c>
      <c r="E444" s="1">
        <v>8</v>
      </c>
    </row>
    <row r="445" spans="1:5" ht="14.25" customHeight="1" x14ac:dyDescent="0.25">
      <c r="A445" s="1" t="s">
        <v>5</v>
      </c>
      <c r="B445" s="1" t="s">
        <v>253</v>
      </c>
      <c r="C445" s="1" t="s">
        <v>298</v>
      </c>
      <c r="D445" s="1">
        <v>55081</v>
      </c>
      <c r="E445" s="1">
        <v>10</v>
      </c>
    </row>
    <row r="446" spans="1:5" ht="14.25" customHeight="1" x14ac:dyDescent="0.25">
      <c r="A446" s="1" t="s">
        <v>15</v>
      </c>
      <c r="B446" s="1" t="s">
        <v>301</v>
      </c>
      <c r="C446" s="1" t="s">
        <v>298</v>
      </c>
      <c r="D446" s="1">
        <v>62343</v>
      </c>
      <c r="E446" s="1">
        <v>8</v>
      </c>
    </row>
    <row r="447" spans="1:5" ht="14.25" customHeight="1" x14ac:dyDescent="0.25">
      <c r="A447" s="1" t="s">
        <v>40</v>
      </c>
      <c r="B447" s="1" t="s">
        <v>123</v>
      </c>
      <c r="C447" s="1" t="s">
        <v>298</v>
      </c>
      <c r="D447" s="1">
        <v>85937</v>
      </c>
      <c r="E447" s="1">
        <v>0</v>
      </c>
    </row>
    <row r="448" spans="1:5" ht="14.25" customHeight="1" x14ac:dyDescent="0.25">
      <c r="A448" s="1" t="s">
        <v>23</v>
      </c>
      <c r="B448" s="1" t="s">
        <v>92</v>
      </c>
      <c r="C448" s="1" t="s">
        <v>302</v>
      </c>
      <c r="D448" s="1">
        <v>26134</v>
      </c>
      <c r="E448" s="1">
        <v>8</v>
      </c>
    </row>
    <row r="449" spans="1:5" ht="14.25" customHeight="1" x14ac:dyDescent="0.25">
      <c r="A449" s="1" t="s">
        <v>66</v>
      </c>
      <c r="B449" s="1" t="s">
        <v>65</v>
      </c>
      <c r="C449" s="1" t="s">
        <v>302</v>
      </c>
      <c r="D449" s="1">
        <v>49397</v>
      </c>
      <c r="E449" s="1">
        <v>7</v>
      </c>
    </row>
    <row r="450" spans="1:5" ht="14.25" customHeight="1" x14ac:dyDescent="0.25">
      <c r="A450" s="1" t="s">
        <v>76</v>
      </c>
      <c r="B450" s="1" t="s">
        <v>9</v>
      </c>
      <c r="C450" s="1" t="s">
        <v>302</v>
      </c>
      <c r="D450" s="1">
        <v>54338</v>
      </c>
      <c r="E450" s="1">
        <v>5</v>
      </c>
    </row>
    <row r="451" spans="1:5" ht="14.25" customHeight="1" x14ac:dyDescent="0.25">
      <c r="A451" s="1" t="s">
        <v>13</v>
      </c>
      <c r="B451" s="1" t="s">
        <v>80</v>
      </c>
      <c r="C451" s="1" t="s">
        <v>302</v>
      </c>
      <c r="D451" s="1">
        <v>27430</v>
      </c>
      <c r="E451" s="1">
        <v>7</v>
      </c>
    </row>
    <row r="452" spans="1:5" ht="14.25" customHeight="1" x14ac:dyDescent="0.25">
      <c r="A452" s="1" t="s">
        <v>31</v>
      </c>
      <c r="B452" s="1" t="s">
        <v>123</v>
      </c>
      <c r="C452" s="1" t="s">
        <v>302</v>
      </c>
      <c r="D452" s="1">
        <v>61279</v>
      </c>
      <c r="E452" s="1">
        <v>6</v>
      </c>
    </row>
    <row r="453" spans="1:5" ht="14.25" customHeight="1" x14ac:dyDescent="0.25">
      <c r="A453" s="1" t="s">
        <v>10</v>
      </c>
      <c r="B453" s="1" t="s">
        <v>134</v>
      </c>
      <c r="C453" s="1" t="s">
        <v>303</v>
      </c>
      <c r="D453" s="1">
        <v>76412</v>
      </c>
      <c r="E453" s="1">
        <v>8</v>
      </c>
    </row>
    <row r="454" spans="1:5" ht="14.25" customHeight="1" x14ac:dyDescent="0.25">
      <c r="A454" s="1" t="s">
        <v>76</v>
      </c>
      <c r="B454" s="1" t="s">
        <v>130</v>
      </c>
      <c r="C454" s="1" t="s">
        <v>303</v>
      </c>
      <c r="D454" s="1">
        <v>27031</v>
      </c>
      <c r="E454" s="1">
        <v>7</v>
      </c>
    </row>
    <row r="455" spans="1:5" ht="14.25" customHeight="1" x14ac:dyDescent="0.25">
      <c r="A455" s="1" t="s">
        <v>76</v>
      </c>
      <c r="B455" s="1" t="s">
        <v>54</v>
      </c>
      <c r="C455" s="1" t="s">
        <v>304</v>
      </c>
      <c r="D455" s="1">
        <v>21128</v>
      </c>
      <c r="E455" s="1">
        <v>6</v>
      </c>
    </row>
    <row r="456" spans="1:5" ht="14.25" customHeight="1" x14ac:dyDescent="0.25">
      <c r="A456" s="1" t="s">
        <v>23</v>
      </c>
      <c r="B456" s="1" t="s">
        <v>305</v>
      </c>
      <c r="C456" s="1" t="s">
        <v>304</v>
      </c>
      <c r="D456" s="1">
        <v>18352</v>
      </c>
      <c r="E456" s="1">
        <v>5</v>
      </c>
    </row>
    <row r="457" spans="1:5" ht="14.25" customHeight="1" x14ac:dyDescent="0.25">
      <c r="A457" s="1" t="s">
        <v>31</v>
      </c>
      <c r="B457" s="1" t="s">
        <v>151</v>
      </c>
      <c r="C457" s="1" t="s">
        <v>306</v>
      </c>
      <c r="D457" s="1">
        <v>78409</v>
      </c>
      <c r="E457" s="1">
        <v>9</v>
      </c>
    </row>
    <row r="458" spans="1:5" ht="14.25" customHeight="1" x14ac:dyDescent="0.25">
      <c r="A458" s="1" t="s">
        <v>15</v>
      </c>
      <c r="B458" s="1" t="s">
        <v>67</v>
      </c>
      <c r="C458" s="1" t="s">
        <v>306</v>
      </c>
      <c r="D458" s="1">
        <v>54503</v>
      </c>
      <c r="E458" s="1">
        <v>7</v>
      </c>
    </row>
    <row r="459" spans="1:5" ht="14.25" customHeight="1" x14ac:dyDescent="0.25">
      <c r="A459" s="1" t="s">
        <v>15</v>
      </c>
      <c r="B459" s="1" t="s">
        <v>79</v>
      </c>
      <c r="C459" s="1" t="s">
        <v>307</v>
      </c>
      <c r="D459" s="1">
        <v>98710</v>
      </c>
      <c r="E459" s="1">
        <v>4</v>
      </c>
    </row>
    <row r="460" spans="1:5" ht="14.25" customHeight="1" x14ac:dyDescent="0.25">
      <c r="A460" s="1" t="s">
        <v>31</v>
      </c>
      <c r="B460" s="1" t="s">
        <v>37</v>
      </c>
      <c r="C460" s="1" t="s">
        <v>307</v>
      </c>
      <c r="D460" s="1">
        <v>44993</v>
      </c>
      <c r="E460" s="1">
        <v>0</v>
      </c>
    </row>
    <row r="461" spans="1:5" ht="14.25" customHeight="1" x14ac:dyDescent="0.25">
      <c r="A461" s="1" t="s">
        <v>8</v>
      </c>
      <c r="B461" s="1" t="s">
        <v>25</v>
      </c>
      <c r="C461" s="1" t="s">
        <v>307</v>
      </c>
      <c r="D461" s="1">
        <v>87488</v>
      </c>
      <c r="E461" s="1">
        <v>7</v>
      </c>
    </row>
    <row r="462" spans="1:5" ht="14.25" customHeight="1" x14ac:dyDescent="0.25">
      <c r="A462" s="1" t="s">
        <v>13</v>
      </c>
      <c r="B462" s="1" t="s">
        <v>16</v>
      </c>
      <c r="C462" s="1" t="s">
        <v>307</v>
      </c>
      <c r="D462" s="1">
        <v>23177</v>
      </c>
      <c r="E462" s="1">
        <v>6</v>
      </c>
    </row>
    <row r="463" spans="1:5" ht="14.25" customHeight="1" x14ac:dyDescent="0.25">
      <c r="A463" s="1" t="s">
        <v>15</v>
      </c>
      <c r="B463" s="1" t="s">
        <v>200</v>
      </c>
      <c r="C463" s="1" t="s">
        <v>308</v>
      </c>
      <c r="D463" s="1">
        <v>47248</v>
      </c>
      <c r="E463" s="1">
        <v>8</v>
      </c>
    </row>
    <row r="464" spans="1:5" ht="14.25" customHeight="1" x14ac:dyDescent="0.25">
      <c r="A464" s="1" t="s">
        <v>10</v>
      </c>
      <c r="B464" s="1" t="s">
        <v>116</v>
      </c>
      <c r="C464" s="1" t="s">
        <v>309</v>
      </c>
      <c r="D464" s="1">
        <v>27335</v>
      </c>
      <c r="E464" s="1">
        <v>6</v>
      </c>
    </row>
    <row r="465" spans="1:5" ht="14.25" customHeight="1" x14ac:dyDescent="0.25">
      <c r="A465" s="1" t="s">
        <v>27</v>
      </c>
      <c r="B465" s="1" t="s">
        <v>148</v>
      </c>
      <c r="C465" s="1" t="s">
        <v>310</v>
      </c>
      <c r="D465" s="1">
        <v>32872</v>
      </c>
      <c r="E465" s="1">
        <v>1</v>
      </c>
    </row>
    <row r="466" spans="1:5" ht="14.25" customHeight="1" x14ac:dyDescent="0.25">
      <c r="A466" s="1" t="s">
        <v>23</v>
      </c>
      <c r="B466" s="1" t="s">
        <v>311</v>
      </c>
      <c r="C466" s="1" t="s">
        <v>310</v>
      </c>
      <c r="D466" s="1">
        <v>56649</v>
      </c>
      <c r="E466" s="1">
        <v>5</v>
      </c>
    </row>
    <row r="467" spans="1:5" ht="14.25" customHeight="1" x14ac:dyDescent="0.25">
      <c r="A467" s="1" t="s">
        <v>13</v>
      </c>
      <c r="B467" s="1" t="s">
        <v>230</v>
      </c>
      <c r="C467" s="1" t="s">
        <v>310</v>
      </c>
      <c r="D467" s="1">
        <v>32190</v>
      </c>
      <c r="E467" s="1">
        <v>6</v>
      </c>
    </row>
    <row r="468" spans="1:5" ht="14.25" customHeight="1" x14ac:dyDescent="0.25">
      <c r="A468" s="1" t="s">
        <v>66</v>
      </c>
      <c r="B468" s="1" t="s">
        <v>140</v>
      </c>
      <c r="C468" s="1" t="s">
        <v>310</v>
      </c>
      <c r="D468" s="1">
        <v>50965</v>
      </c>
      <c r="E468" s="1">
        <v>6</v>
      </c>
    </row>
    <row r="469" spans="1:5" ht="14.25" customHeight="1" x14ac:dyDescent="0.25">
      <c r="A469" s="1" t="s">
        <v>23</v>
      </c>
      <c r="B469" s="1" t="s">
        <v>131</v>
      </c>
      <c r="C469" s="1" t="s">
        <v>310</v>
      </c>
      <c r="D469" s="1">
        <v>43927</v>
      </c>
      <c r="E469" s="1">
        <v>2</v>
      </c>
    </row>
    <row r="470" spans="1:5" ht="14.25" customHeight="1" x14ac:dyDescent="0.25">
      <c r="A470" s="1" t="s">
        <v>76</v>
      </c>
      <c r="B470" s="1" t="s">
        <v>6</v>
      </c>
      <c r="C470" s="1" t="s">
        <v>310</v>
      </c>
      <c r="D470" s="1">
        <v>61847</v>
      </c>
      <c r="E470" s="1">
        <v>9</v>
      </c>
    </row>
    <row r="471" spans="1:5" ht="14.25" customHeight="1" x14ac:dyDescent="0.25">
      <c r="A471" s="1" t="s">
        <v>51</v>
      </c>
      <c r="B471" s="1" t="s">
        <v>312</v>
      </c>
      <c r="C471" s="1" t="s">
        <v>310</v>
      </c>
      <c r="D471" s="1">
        <v>73001</v>
      </c>
      <c r="E471" s="1">
        <v>5</v>
      </c>
    </row>
    <row r="472" spans="1:5" ht="14.25" customHeight="1" x14ac:dyDescent="0.25">
      <c r="A472" s="1" t="s">
        <v>76</v>
      </c>
      <c r="B472" s="1" t="s">
        <v>68</v>
      </c>
      <c r="C472" s="1" t="s">
        <v>313</v>
      </c>
      <c r="D472" s="1">
        <v>96642</v>
      </c>
      <c r="E472" s="1">
        <v>6</v>
      </c>
    </row>
    <row r="473" spans="1:5" ht="14.25" customHeight="1" x14ac:dyDescent="0.25">
      <c r="A473" s="1" t="s">
        <v>27</v>
      </c>
      <c r="B473" s="1" t="s">
        <v>113</v>
      </c>
      <c r="C473" s="1" t="s">
        <v>313</v>
      </c>
      <c r="D473" s="1">
        <v>50130</v>
      </c>
      <c r="E473" s="1">
        <v>6</v>
      </c>
    </row>
    <row r="474" spans="1:5" ht="14.25" customHeight="1" x14ac:dyDescent="0.25">
      <c r="A474" s="1" t="s">
        <v>10</v>
      </c>
      <c r="B474" s="1" t="s">
        <v>45</v>
      </c>
      <c r="C474" s="1" t="s">
        <v>313</v>
      </c>
      <c r="D474" s="1">
        <v>92086</v>
      </c>
      <c r="E474" s="1">
        <v>7</v>
      </c>
    </row>
    <row r="475" spans="1:5" ht="14.25" customHeight="1" x14ac:dyDescent="0.25">
      <c r="A475" s="1" t="s">
        <v>66</v>
      </c>
      <c r="B475" s="1" t="s">
        <v>301</v>
      </c>
      <c r="C475" s="1" t="s">
        <v>313</v>
      </c>
      <c r="D475" s="1">
        <v>18943</v>
      </c>
      <c r="E475" s="1">
        <v>6</v>
      </c>
    </row>
    <row r="476" spans="1:5" ht="14.25" customHeight="1" x14ac:dyDescent="0.25">
      <c r="A476" s="1" t="s">
        <v>76</v>
      </c>
      <c r="B476" s="1" t="s">
        <v>126</v>
      </c>
      <c r="C476" s="1" t="s">
        <v>313</v>
      </c>
      <c r="D476" s="1">
        <v>23273</v>
      </c>
      <c r="E476" s="1">
        <v>7</v>
      </c>
    </row>
    <row r="477" spans="1:5" ht="14.25" customHeight="1" x14ac:dyDescent="0.25">
      <c r="A477" s="1" t="s">
        <v>5</v>
      </c>
      <c r="B477" s="1" t="s">
        <v>115</v>
      </c>
      <c r="C477" s="1" t="s">
        <v>313</v>
      </c>
      <c r="D477" s="1">
        <v>41313</v>
      </c>
      <c r="E477" s="1">
        <v>4</v>
      </c>
    </row>
    <row r="478" spans="1:5" ht="14.25" customHeight="1" x14ac:dyDescent="0.25">
      <c r="A478" s="1" t="s">
        <v>15</v>
      </c>
      <c r="B478" s="1" t="s">
        <v>314</v>
      </c>
      <c r="C478" s="1" t="s">
        <v>313</v>
      </c>
      <c r="D478" s="1">
        <v>71937</v>
      </c>
      <c r="E478" s="1">
        <v>8</v>
      </c>
    </row>
    <row r="479" spans="1:5" ht="14.25" customHeight="1" x14ac:dyDescent="0.25">
      <c r="A479" s="1" t="s">
        <v>40</v>
      </c>
      <c r="B479" s="1" t="s">
        <v>162</v>
      </c>
      <c r="C479" s="1" t="s">
        <v>313</v>
      </c>
      <c r="D479" s="1">
        <v>36851</v>
      </c>
      <c r="E479" s="1">
        <v>8</v>
      </c>
    </row>
    <row r="480" spans="1:5" ht="14.25" customHeight="1" x14ac:dyDescent="0.25">
      <c r="A480" s="1" t="s">
        <v>51</v>
      </c>
      <c r="B480" s="1" t="s">
        <v>96</v>
      </c>
      <c r="C480" s="1" t="s">
        <v>313</v>
      </c>
      <c r="D480" s="1">
        <v>18955</v>
      </c>
      <c r="E480" s="1">
        <v>7</v>
      </c>
    </row>
    <row r="481" spans="1:5" ht="14.25" customHeight="1" x14ac:dyDescent="0.25">
      <c r="A481" s="1" t="s">
        <v>23</v>
      </c>
      <c r="B481" s="1" t="s">
        <v>220</v>
      </c>
      <c r="C481" s="1" t="s">
        <v>315</v>
      </c>
      <c r="D481" s="1">
        <v>45110</v>
      </c>
      <c r="E481" s="1">
        <v>5</v>
      </c>
    </row>
    <row r="482" spans="1:5" ht="14.25" customHeight="1" x14ac:dyDescent="0.25">
      <c r="A482" s="1" t="s">
        <v>10</v>
      </c>
      <c r="B482" s="1" t="s">
        <v>134</v>
      </c>
      <c r="C482" s="1" t="s">
        <v>315</v>
      </c>
      <c r="D482" s="1">
        <v>44646</v>
      </c>
      <c r="E482" s="1">
        <v>9</v>
      </c>
    </row>
    <row r="483" spans="1:5" ht="14.25" customHeight="1" x14ac:dyDescent="0.25">
      <c r="A483" s="1" t="s">
        <v>13</v>
      </c>
      <c r="B483" s="1" t="s">
        <v>179</v>
      </c>
      <c r="C483" s="1" t="s">
        <v>315</v>
      </c>
      <c r="D483" s="1">
        <v>80285</v>
      </c>
      <c r="E483" s="1">
        <v>3</v>
      </c>
    </row>
    <row r="484" spans="1:5" ht="14.25" customHeight="1" x14ac:dyDescent="0.25">
      <c r="A484" s="1" t="s">
        <v>40</v>
      </c>
      <c r="B484" s="1" t="s">
        <v>177</v>
      </c>
      <c r="C484" s="1" t="s">
        <v>316</v>
      </c>
      <c r="D484" s="1">
        <v>92969</v>
      </c>
      <c r="E484" s="1">
        <v>1</v>
      </c>
    </row>
    <row r="485" spans="1:5" ht="14.25" customHeight="1" x14ac:dyDescent="0.25">
      <c r="A485" s="1" t="s">
        <v>23</v>
      </c>
      <c r="B485" s="1" t="s">
        <v>249</v>
      </c>
      <c r="C485" s="1" t="s">
        <v>317</v>
      </c>
      <c r="D485" s="1">
        <v>78690</v>
      </c>
      <c r="E485" s="1">
        <v>2</v>
      </c>
    </row>
    <row r="486" spans="1:5" ht="14.25" customHeight="1" x14ac:dyDescent="0.25">
      <c r="A486" s="1" t="s">
        <v>51</v>
      </c>
      <c r="B486" s="1" t="s">
        <v>311</v>
      </c>
      <c r="C486" s="1" t="s">
        <v>317</v>
      </c>
      <c r="D486" s="1">
        <v>16932</v>
      </c>
      <c r="E486" s="1">
        <v>7</v>
      </c>
    </row>
    <row r="487" spans="1:5" ht="14.25" customHeight="1" x14ac:dyDescent="0.25">
      <c r="A487" s="1" t="s">
        <v>10</v>
      </c>
      <c r="B487" s="1" t="s">
        <v>268</v>
      </c>
      <c r="C487" s="1" t="s">
        <v>317</v>
      </c>
      <c r="D487" s="1">
        <v>72221</v>
      </c>
      <c r="E487" s="1">
        <v>0</v>
      </c>
    </row>
    <row r="488" spans="1:5" ht="14.25" customHeight="1" x14ac:dyDescent="0.25">
      <c r="A488" s="1" t="s">
        <v>66</v>
      </c>
      <c r="B488" s="1" t="s">
        <v>129</v>
      </c>
      <c r="C488" s="1" t="s">
        <v>317</v>
      </c>
      <c r="D488" s="1">
        <v>32356</v>
      </c>
      <c r="E488" s="1">
        <v>8</v>
      </c>
    </row>
    <row r="489" spans="1:5" ht="14.25" customHeight="1" x14ac:dyDescent="0.25">
      <c r="A489" s="1" t="s">
        <v>13</v>
      </c>
      <c r="B489" s="1" t="s">
        <v>116</v>
      </c>
      <c r="C489" s="1" t="s">
        <v>317</v>
      </c>
      <c r="D489" s="1">
        <v>97620</v>
      </c>
      <c r="E489" s="1">
        <v>5</v>
      </c>
    </row>
    <row r="490" spans="1:5" ht="14.25" customHeight="1" x14ac:dyDescent="0.25">
      <c r="A490" s="1" t="s">
        <v>31</v>
      </c>
      <c r="B490" s="1" t="s">
        <v>225</v>
      </c>
      <c r="C490" s="1" t="s">
        <v>317</v>
      </c>
      <c r="D490" s="1">
        <v>76087</v>
      </c>
      <c r="E490" s="1">
        <v>9</v>
      </c>
    </row>
    <row r="491" spans="1:5" ht="14.25" customHeight="1" x14ac:dyDescent="0.25">
      <c r="A491" s="1" t="s">
        <v>31</v>
      </c>
      <c r="B491" s="1" t="s">
        <v>318</v>
      </c>
      <c r="C491" s="1" t="s">
        <v>319</v>
      </c>
      <c r="D491" s="1">
        <v>23255</v>
      </c>
      <c r="E491" s="1">
        <v>3</v>
      </c>
    </row>
    <row r="492" spans="1:5" ht="14.25" customHeight="1" x14ac:dyDescent="0.25">
      <c r="A492" s="1" t="s">
        <v>10</v>
      </c>
      <c r="B492" s="1" t="s">
        <v>123</v>
      </c>
      <c r="C492" s="1" t="s">
        <v>319</v>
      </c>
      <c r="D492" s="1">
        <v>86594</v>
      </c>
      <c r="E492" s="1">
        <v>5</v>
      </c>
    </row>
    <row r="493" spans="1:5" ht="14.25" customHeight="1" x14ac:dyDescent="0.25">
      <c r="A493" s="1" t="s">
        <v>23</v>
      </c>
      <c r="B493" s="1" t="s">
        <v>74</v>
      </c>
      <c r="C493" s="1" t="s">
        <v>319</v>
      </c>
      <c r="D493" s="1">
        <v>17429</v>
      </c>
      <c r="E493" s="1">
        <v>6</v>
      </c>
    </row>
    <row r="494" spans="1:5" ht="14.25" customHeight="1" x14ac:dyDescent="0.25">
      <c r="A494" s="1" t="s">
        <v>8</v>
      </c>
      <c r="B494" s="1" t="s">
        <v>148</v>
      </c>
      <c r="C494" s="1" t="s">
        <v>320</v>
      </c>
      <c r="D494" s="1">
        <v>67913</v>
      </c>
      <c r="E494" s="1">
        <v>5</v>
      </c>
    </row>
    <row r="495" spans="1:5" ht="14.25" customHeight="1" x14ac:dyDescent="0.25">
      <c r="A495" s="1" t="s">
        <v>13</v>
      </c>
      <c r="B495" s="1" t="s">
        <v>207</v>
      </c>
      <c r="C495" s="1" t="s">
        <v>320</v>
      </c>
      <c r="D495" s="1">
        <v>75912</v>
      </c>
      <c r="E495" s="1">
        <v>3</v>
      </c>
    </row>
    <row r="496" spans="1:5" ht="14.25" customHeight="1" x14ac:dyDescent="0.25">
      <c r="A496" s="1" t="s">
        <v>31</v>
      </c>
      <c r="B496" s="1" t="s">
        <v>110</v>
      </c>
      <c r="C496" s="1" t="s">
        <v>320</v>
      </c>
      <c r="D496" s="1">
        <v>81458</v>
      </c>
      <c r="E496" s="1">
        <v>4</v>
      </c>
    </row>
    <row r="497" spans="1:5" ht="14.25" customHeight="1" x14ac:dyDescent="0.25">
      <c r="A497" s="1" t="s">
        <v>66</v>
      </c>
      <c r="B497" s="1" t="s">
        <v>88</v>
      </c>
      <c r="C497" s="1" t="s">
        <v>320</v>
      </c>
      <c r="D497" s="1">
        <v>26104</v>
      </c>
      <c r="E497" s="1">
        <v>5</v>
      </c>
    </row>
    <row r="498" spans="1:5" ht="14.25" customHeight="1" x14ac:dyDescent="0.25">
      <c r="A498" s="1" t="s">
        <v>76</v>
      </c>
      <c r="B498" s="1" t="s">
        <v>242</v>
      </c>
      <c r="C498" s="1" t="s">
        <v>321</v>
      </c>
      <c r="D498" s="1">
        <v>61791</v>
      </c>
      <c r="E498" s="1">
        <v>7</v>
      </c>
    </row>
    <row r="499" spans="1:5" ht="14.25" customHeight="1" x14ac:dyDescent="0.25">
      <c r="A499" s="1" t="s">
        <v>27</v>
      </c>
      <c r="B499" s="1" t="s">
        <v>237</v>
      </c>
      <c r="C499" s="1" t="s">
        <v>321</v>
      </c>
      <c r="D499" s="1">
        <v>67602</v>
      </c>
      <c r="E499" s="1">
        <v>5</v>
      </c>
    </row>
    <row r="500" spans="1:5" ht="14.25" customHeight="1" x14ac:dyDescent="0.25">
      <c r="A500" s="1" t="s">
        <v>27</v>
      </c>
      <c r="B500" s="1" t="s">
        <v>305</v>
      </c>
      <c r="C500" s="1" t="s">
        <v>322</v>
      </c>
      <c r="D500" s="1">
        <v>59796</v>
      </c>
      <c r="E500" s="1">
        <v>9</v>
      </c>
    </row>
    <row r="501" spans="1:5" ht="14.25" customHeight="1" x14ac:dyDescent="0.25">
      <c r="A501" s="1" t="s">
        <v>15</v>
      </c>
      <c r="B501" s="1" t="s">
        <v>25</v>
      </c>
      <c r="C501" s="1" t="s">
        <v>322</v>
      </c>
      <c r="D501" s="1">
        <v>54574</v>
      </c>
      <c r="E501" s="1">
        <v>7</v>
      </c>
    </row>
    <row r="502" spans="1:5" ht="14.25" customHeight="1" x14ac:dyDescent="0.25">
      <c r="A502" s="1" t="s">
        <v>15</v>
      </c>
      <c r="B502" s="1" t="s">
        <v>173</v>
      </c>
      <c r="C502" s="1" t="s">
        <v>323</v>
      </c>
      <c r="D502" s="1">
        <v>48560</v>
      </c>
      <c r="E502" s="1">
        <v>5</v>
      </c>
    </row>
    <row r="503" spans="1:5" ht="14.25" customHeight="1" x14ac:dyDescent="0.25">
      <c r="A503" s="1" t="s">
        <v>31</v>
      </c>
      <c r="B503" s="1" t="s">
        <v>131</v>
      </c>
      <c r="C503" s="1" t="s">
        <v>323</v>
      </c>
      <c r="D503" s="1">
        <v>48003</v>
      </c>
      <c r="E503" s="1">
        <v>4</v>
      </c>
    </row>
    <row r="504" spans="1:5" ht="14.25" customHeight="1" x14ac:dyDescent="0.25">
      <c r="A504" s="1" t="s">
        <v>31</v>
      </c>
      <c r="B504" s="1" t="s">
        <v>247</v>
      </c>
      <c r="C504" s="1" t="s">
        <v>323</v>
      </c>
      <c r="D504" s="1">
        <v>57911</v>
      </c>
      <c r="E504" s="1">
        <v>7</v>
      </c>
    </row>
    <row r="505" spans="1:5" ht="14.25" customHeight="1" x14ac:dyDescent="0.25">
      <c r="A505" s="1" t="s">
        <v>15</v>
      </c>
      <c r="B505" s="1" t="s">
        <v>324</v>
      </c>
      <c r="C505" s="1" t="s">
        <v>325</v>
      </c>
      <c r="D505" s="1">
        <v>23522</v>
      </c>
      <c r="E505" s="1">
        <v>6</v>
      </c>
    </row>
    <row r="506" spans="1:5" ht="14.25" customHeight="1" x14ac:dyDescent="0.25">
      <c r="A506" s="1" t="s">
        <v>13</v>
      </c>
      <c r="B506" s="1" t="s">
        <v>124</v>
      </c>
      <c r="C506" s="1" t="s">
        <v>325</v>
      </c>
      <c r="D506" s="1">
        <v>21859</v>
      </c>
      <c r="E506" s="1">
        <v>8</v>
      </c>
    </row>
    <row r="507" spans="1:5" ht="14.25" customHeight="1" x14ac:dyDescent="0.25">
      <c r="A507" s="1" t="s">
        <v>15</v>
      </c>
      <c r="B507" s="1" t="s">
        <v>144</v>
      </c>
      <c r="C507" s="1" t="s">
        <v>326</v>
      </c>
      <c r="D507" s="1">
        <v>19784</v>
      </c>
      <c r="E507" s="1">
        <v>7</v>
      </c>
    </row>
    <row r="508" spans="1:5" ht="14.25" customHeight="1" x14ac:dyDescent="0.25">
      <c r="A508" s="1" t="s">
        <v>51</v>
      </c>
      <c r="B508" s="1" t="s">
        <v>198</v>
      </c>
      <c r="C508" s="1" t="s">
        <v>326</v>
      </c>
      <c r="D508" s="1">
        <v>94747</v>
      </c>
      <c r="E508" s="1">
        <v>4</v>
      </c>
    </row>
    <row r="509" spans="1:5" ht="14.25" customHeight="1" x14ac:dyDescent="0.25">
      <c r="A509" s="1" t="s">
        <v>51</v>
      </c>
      <c r="B509" s="1" t="s">
        <v>85</v>
      </c>
      <c r="C509" s="1" t="s">
        <v>326</v>
      </c>
      <c r="D509" s="1">
        <v>56567</v>
      </c>
      <c r="E509" s="1">
        <v>3</v>
      </c>
    </row>
    <row r="510" spans="1:5" ht="14.25" customHeight="1" x14ac:dyDescent="0.25">
      <c r="A510" s="1" t="s">
        <v>51</v>
      </c>
      <c r="B510" s="1" t="s">
        <v>191</v>
      </c>
      <c r="C510" s="1" t="s">
        <v>326</v>
      </c>
      <c r="D510" s="1">
        <v>49138</v>
      </c>
      <c r="E510" s="1">
        <v>8</v>
      </c>
    </row>
    <row r="511" spans="1:5" ht="14.25" customHeight="1" x14ac:dyDescent="0.25">
      <c r="A511" s="1" t="s">
        <v>76</v>
      </c>
      <c r="B511" s="1" t="s">
        <v>151</v>
      </c>
      <c r="C511" s="1" t="s">
        <v>326</v>
      </c>
      <c r="D511" s="1">
        <v>19764</v>
      </c>
      <c r="E511" s="1">
        <v>7</v>
      </c>
    </row>
    <row r="512" spans="1:5" ht="14.25" customHeight="1" x14ac:dyDescent="0.25">
      <c r="A512" s="1" t="s">
        <v>8</v>
      </c>
      <c r="B512" s="1" t="s">
        <v>327</v>
      </c>
      <c r="C512" s="1" t="s">
        <v>326</v>
      </c>
      <c r="D512" s="1">
        <v>68370</v>
      </c>
      <c r="E512" s="1">
        <v>8</v>
      </c>
    </row>
    <row r="513" spans="1:5" ht="14.25" customHeight="1" x14ac:dyDescent="0.25">
      <c r="A513" s="1" t="s">
        <v>27</v>
      </c>
      <c r="B513" s="1" t="s">
        <v>16</v>
      </c>
      <c r="C513" s="1" t="s">
        <v>326</v>
      </c>
      <c r="D513" s="1">
        <v>29035</v>
      </c>
      <c r="E513" s="1">
        <v>1</v>
      </c>
    </row>
    <row r="514" spans="1:5" ht="14.25" customHeight="1" x14ac:dyDescent="0.25">
      <c r="A514" s="1" t="s">
        <v>51</v>
      </c>
      <c r="B514" s="1" t="s">
        <v>228</v>
      </c>
      <c r="C514" s="1" t="s">
        <v>326</v>
      </c>
      <c r="D514" s="1">
        <v>61523</v>
      </c>
      <c r="E514" s="1">
        <v>7</v>
      </c>
    </row>
    <row r="515" spans="1:5" ht="14.25" customHeight="1" x14ac:dyDescent="0.25">
      <c r="A515" s="1" t="s">
        <v>15</v>
      </c>
      <c r="B515" s="1" t="s">
        <v>45</v>
      </c>
      <c r="C515" s="1" t="s">
        <v>326</v>
      </c>
      <c r="D515" s="1">
        <v>47256</v>
      </c>
      <c r="E515" s="1">
        <v>9</v>
      </c>
    </row>
    <row r="516" spans="1:5" ht="14.25" customHeight="1" x14ac:dyDescent="0.25">
      <c r="A516" s="1" t="s">
        <v>31</v>
      </c>
      <c r="B516" s="1" t="s">
        <v>220</v>
      </c>
      <c r="C516" s="1" t="s">
        <v>326</v>
      </c>
      <c r="D516" s="1">
        <v>33587</v>
      </c>
      <c r="E516" s="1">
        <v>4</v>
      </c>
    </row>
    <row r="517" spans="1:5" ht="14.25" customHeight="1" x14ac:dyDescent="0.25">
      <c r="A517" s="1" t="s">
        <v>31</v>
      </c>
      <c r="B517" s="1" t="s">
        <v>158</v>
      </c>
      <c r="C517" s="1" t="s">
        <v>326</v>
      </c>
      <c r="D517" s="1">
        <v>82311</v>
      </c>
      <c r="E517" s="1">
        <v>3</v>
      </c>
    </row>
    <row r="518" spans="1:5" ht="14.25" customHeight="1" x14ac:dyDescent="0.25">
      <c r="A518" s="1" t="s">
        <v>27</v>
      </c>
      <c r="B518" s="1" t="s">
        <v>68</v>
      </c>
      <c r="C518" s="1" t="s">
        <v>328</v>
      </c>
      <c r="D518" s="1">
        <v>59578</v>
      </c>
      <c r="E518" s="1">
        <v>5</v>
      </c>
    </row>
    <row r="519" spans="1:5" ht="14.25" customHeight="1" x14ac:dyDescent="0.25">
      <c r="A519" s="1" t="s">
        <v>76</v>
      </c>
      <c r="B519" s="1" t="s">
        <v>229</v>
      </c>
      <c r="C519" s="1" t="s">
        <v>328</v>
      </c>
      <c r="D519" s="1">
        <v>21465</v>
      </c>
      <c r="E519" s="1">
        <v>5</v>
      </c>
    </row>
    <row r="520" spans="1:5" ht="14.25" customHeight="1" x14ac:dyDescent="0.25">
      <c r="A520" s="1" t="s">
        <v>76</v>
      </c>
      <c r="B520" s="1" t="s">
        <v>246</v>
      </c>
      <c r="C520" s="1" t="s">
        <v>328</v>
      </c>
      <c r="D520" s="1">
        <v>42091</v>
      </c>
      <c r="E520" s="1">
        <v>6</v>
      </c>
    </row>
    <row r="521" spans="1:5" ht="14.25" customHeight="1" x14ac:dyDescent="0.25">
      <c r="A521" s="1" t="s">
        <v>51</v>
      </c>
      <c r="B521" s="1" t="s">
        <v>111</v>
      </c>
      <c r="C521" s="1" t="s">
        <v>329</v>
      </c>
      <c r="D521" s="1">
        <v>17571</v>
      </c>
      <c r="E521" s="1">
        <v>4</v>
      </c>
    </row>
    <row r="522" spans="1:5" ht="14.25" customHeight="1" x14ac:dyDescent="0.25">
      <c r="A522" s="1" t="s">
        <v>51</v>
      </c>
      <c r="B522" s="1" t="s">
        <v>114</v>
      </c>
      <c r="C522" s="1" t="s">
        <v>329</v>
      </c>
      <c r="D522" s="1">
        <v>11512</v>
      </c>
      <c r="E522" s="1">
        <v>4</v>
      </c>
    </row>
    <row r="523" spans="1:5" ht="14.25" customHeight="1" x14ac:dyDescent="0.25">
      <c r="A523" s="1" t="s">
        <v>27</v>
      </c>
      <c r="B523" s="1" t="s">
        <v>162</v>
      </c>
      <c r="C523" s="1" t="s">
        <v>329</v>
      </c>
      <c r="D523" s="1">
        <v>93068</v>
      </c>
      <c r="E523" s="1">
        <v>6</v>
      </c>
    </row>
    <row r="524" spans="1:5" ht="14.25" customHeight="1" x14ac:dyDescent="0.25">
      <c r="A524" s="1" t="s">
        <v>23</v>
      </c>
      <c r="B524" s="1" t="s">
        <v>230</v>
      </c>
      <c r="C524" s="1" t="s">
        <v>329</v>
      </c>
      <c r="D524" s="1">
        <v>58794</v>
      </c>
      <c r="E524" s="1">
        <v>8</v>
      </c>
    </row>
    <row r="525" spans="1:5" ht="14.25" customHeight="1" x14ac:dyDescent="0.25">
      <c r="A525" s="1" t="s">
        <v>31</v>
      </c>
      <c r="B525" s="1" t="s">
        <v>213</v>
      </c>
      <c r="C525" s="1" t="s">
        <v>330</v>
      </c>
      <c r="D525" s="1">
        <v>59277</v>
      </c>
      <c r="E525" s="1">
        <v>9</v>
      </c>
    </row>
    <row r="526" spans="1:5" ht="14.25" customHeight="1" x14ac:dyDescent="0.25">
      <c r="A526" s="1" t="s">
        <v>13</v>
      </c>
      <c r="B526" s="1" t="s">
        <v>100</v>
      </c>
      <c r="C526" s="1" t="s">
        <v>330</v>
      </c>
      <c r="D526" s="1">
        <v>51776</v>
      </c>
      <c r="E526" s="1">
        <v>2</v>
      </c>
    </row>
    <row r="527" spans="1:5" ht="14.25" customHeight="1" x14ac:dyDescent="0.25">
      <c r="A527" s="1" t="s">
        <v>51</v>
      </c>
      <c r="B527" s="1" t="s">
        <v>96</v>
      </c>
      <c r="C527" s="1" t="s">
        <v>330</v>
      </c>
      <c r="D527" s="1">
        <v>58331</v>
      </c>
      <c r="E527" s="1">
        <v>6</v>
      </c>
    </row>
    <row r="528" spans="1:5" ht="14.25" customHeight="1" x14ac:dyDescent="0.25">
      <c r="A528" s="1" t="s">
        <v>10</v>
      </c>
      <c r="B528" s="1" t="s">
        <v>123</v>
      </c>
      <c r="C528" s="1" t="s">
        <v>330</v>
      </c>
      <c r="D528" s="1">
        <v>68344</v>
      </c>
      <c r="E528" s="1">
        <v>8</v>
      </c>
    </row>
    <row r="529" spans="1:5" ht="14.25" customHeight="1" x14ac:dyDescent="0.25">
      <c r="A529" s="1" t="s">
        <v>40</v>
      </c>
      <c r="B529" s="1" t="s">
        <v>36</v>
      </c>
      <c r="C529" s="1" t="s">
        <v>330</v>
      </c>
      <c r="D529" s="1">
        <v>53331</v>
      </c>
      <c r="E529" s="1">
        <v>6</v>
      </c>
    </row>
    <row r="530" spans="1:5" ht="14.25" customHeight="1" x14ac:dyDescent="0.25">
      <c r="A530" s="1" t="s">
        <v>8</v>
      </c>
      <c r="B530" s="1" t="s">
        <v>324</v>
      </c>
      <c r="C530" s="1" t="s">
        <v>331</v>
      </c>
      <c r="D530" s="1">
        <v>82212</v>
      </c>
      <c r="E530" s="1">
        <v>3</v>
      </c>
    </row>
    <row r="531" spans="1:5" ht="14.25" customHeight="1" x14ac:dyDescent="0.25">
      <c r="A531" s="1" t="s">
        <v>5</v>
      </c>
      <c r="B531" s="1" t="s">
        <v>197</v>
      </c>
      <c r="C531" s="1" t="s">
        <v>331</v>
      </c>
      <c r="D531" s="1">
        <v>40245</v>
      </c>
      <c r="E531" s="1">
        <v>9</v>
      </c>
    </row>
    <row r="532" spans="1:5" ht="14.25" customHeight="1" x14ac:dyDescent="0.25">
      <c r="A532" s="1" t="s">
        <v>13</v>
      </c>
      <c r="B532" s="1" t="s">
        <v>105</v>
      </c>
      <c r="C532" s="1" t="s">
        <v>332</v>
      </c>
      <c r="D532" s="1">
        <v>94119</v>
      </c>
      <c r="E532" s="1">
        <v>3</v>
      </c>
    </row>
    <row r="533" spans="1:5" ht="14.25" customHeight="1" x14ac:dyDescent="0.25">
      <c r="A533" s="1" t="s">
        <v>31</v>
      </c>
      <c r="B533" s="1" t="s">
        <v>77</v>
      </c>
      <c r="C533" s="1" t="s">
        <v>332</v>
      </c>
      <c r="D533" s="1">
        <v>34933</v>
      </c>
      <c r="E533" s="1">
        <v>8</v>
      </c>
    </row>
    <row r="534" spans="1:5" ht="14.25" customHeight="1" x14ac:dyDescent="0.25">
      <c r="A534" s="1" t="s">
        <v>27</v>
      </c>
      <c r="B534" s="1" t="s">
        <v>251</v>
      </c>
      <c r="C534" s="1" t="s">
        <v>332</v>
      </c>
      <c r="D534" s="1">
        <v>70295</v>
      </c>
      <c r="E534" s="1">
        <v>7</v>
      </c>
    </row>
    <row r="535" spans="1:5" ht="14.25" customHeight="1" x14ac:dyDescent="0.25">
      <c r="A535" s="1" t="s">
        <v>5</v>
      </c>
      <c r="B535" s="1" t="s">
        <v>324</v>
      </c>
      <c r="C535" s="1" t="s">
        <v>332</v>
      </c>
      <c r="D535" s="1">
        <v>28273</v>
      </c>
      <c r="E535" s="1">
        <v>9</v>
      </c>
    </row>
    <row r="536" spans="1:5" ht="14.25" customHeight="1" x14ac:dyDescent="0.25">
      <c r="A536" s="1" t="s">
        <v>51</v>
      </c>
      <c r="B536" s="1" t="s">
        <v>193</v>
      </c>
      <c r="C536" s="1" t="s">
        <v>332</v>
      </c>
      <c r="D536" s="1">
        <v>60576</v>
      </c>
      <c r="E536" s="1">
        <v>6</v>
      </c>
    </row>
    <row r="537" spans="1:5" ht="14.25" customHeight="1" x14ac:dyDescent="0.25">
      <c r="A537" s="1" t="s">
        <v>15</v>
      </c>
      <c r="B537" s="1" t="s">
        <v>6</v>
      </c>
      <c r="C537" s="1" t="s">
        <v>332</v>
      </c>
      <c r="D537" s="1">
        <v>35014</v>
      </c>
      <c r="E537" s="1">
        <v>8</v>
      </c>
    </row>
    <row r="538" spans="1:5" ht="14.25" customHeight="1" x14ac:dyDescent="0.25">
      <c r="A538" s="1" t="s">
        <v>15</v>
      </c>
      <c r="B538" s="1" t="s">
        <v>216</v>
      </c>
      <c r="C538" s="1" t="s">
        <v>332</v>
      </c>
      <c r="D538" s="1">
        <v>39487</v>
      </c>
      <c r="E538" s="1">
        <v>7</v>
      </c>
    </row>
    <row r="539" spans="1:5" ht="14.25" customHeight="1" x14ac:dyDescent="0.25">
      <c r="A539" s="1" t="s">
        <v>23</v>
      </c>
      <c r="B539" s="1" t="s">
        <v>143</v>
      </c>
      <c r="C539" s="1" t="s">
        <v>332</v>
      </c>
      <c r="D539" s="1">
        <v>89345</v>
      </c>
      <c r="E539" s="1">
        <v>8</v>
      </c>
    </row>
    <row r="540" spans="1:5" ht="14.25" customHeight="1" x14ac:dyDescent="0.25">
      <c r="A540" s="1" t="s">
        <v>10</v>
      </c>
      <c r="B540" s="1" t="s">
        <v>6</v>
      </c>
      <c r="C540" s="1" t="s">
        <v>332</v>
      </c>
      <c r="D540" s="1">
        <v>99374</v>
      </c>
      <c r="E540" s="1">
        <v>6</v>
      </c>
    </row>
    <row r="541" spans="1:5" ht="14.25" customHeight="1" x14ac:dyDescent="0.25">
      <c r="A541" s="1" t="s">
        <v>23</v>
      </c>
      <c r="B541" s="1" t="s">
        <v>140</v>
      </c>
      <c r="C541" s="1" t="s">
        <v>332</v>
      </c>
      <c r="D541" s="1">
        <v>66613</v>
      </c>
      <c r="E541" s="1">
        <v>6</v>
      </c>
    </row>
    <row r="542" spans="1:5" ht="14.25" customHeight="1" x14ac:dyDescent="0.25">
      <c r="A542" s="1" t="s">
        <v>31</v>
      </c>
      <c r="B542" s="1" t="s">
        <v>74</v>
      </c>
      <c r="C542" s="1" t="s">
        <v>332</v>
      </c>
      <c r="D542" s="1">
        <v>50456</v>
      </c>
      <c r="E542" s="1">
        <v>7</v>
      </c>
    </row>
    <row r="543" spans="1:5" ht="14.25" customHeight="1" x14ac:dyDescent="0.25">
      <c r="A543" s="1" t="s">
        <v>10</v>
      </c>
      <c r="B543" s="1" t="s">
        <v>32</v>
      </c>
      <c r="C543" s="1" t="s">
        <v>332</v>
      </c>
      <c r="D543" s="1">
        <v>65516</v>
      </c>
      <c r="E543" s="1">
        <v>7</v>
      </c>
    </row>
    <row r="544" spans="1:5" ht="14.25" customHeight="1" x14ac:dyDescent="0.25">
      <c r="A544" s="1" t="s">
        <v>76</v>
      </c>
      <c r="B544" s="1" t="s">
        <v>255</v>
      </c>
      <c r="C544" s="1" t="s">
        <v>333</v>
      </c>
      <c r="D544" s="1">
        <v>47743</v>
      </c>
      <c r="E544" s="1">
        <v>6</v>
      </c>
    </row>
    <row r="545" spans="1:5" ht="14.25" customHeight="1" x14ac:dyDescent="0.25">
      <c r="A545" s="1" t="s">
        <v>66</v>
      </c>
      <c r="B545" s="1" t="s">
        <v>61</v>
      </c>
      <c r="C545" s="1" t="s">
        <v>334</v>
      </c>
      <c r="D545" s="1">
        <v>96955</v>
      </c>
      <c r="E545" s="1">
        <v>10</v>
      </c>
    </row>
    <row r="546" spans="1:5" ht="14.25" customHeight="1" x14ac:dyDescent="0.25">
      <c r="A546" s="1" t="s">
        <v>10</v>
      </c>
      <c r="B546" s="1" t="s">
        <v>243</v>
      </c>
      <c r="C546" s="1" t="s">
        <v>334</v>
      </c>
      <c r="D546" s="1">
        <v>52912</v>
      </c>
      <c r="E546" s="1">
        <v>4</v>
      </c>
    </row>
    <row r="547" spans="1:5" ht="14.25" customHeight="1" x14ac:dyDescent="0.25">
      <c r="A547" s="1" t="s">
        <v>13</v>
      </c>
      <c r="B547" s="1" t="s">
        <v>189</v>
      </c>
      <c r="C547" s="1" t="s">
        <v>334</v>
      </c>
      <c r="D547" s="1">
        <v>51645</v>
      </c>
      <c r="E547" s="1">
        <v>4</v>
      </c>
    </row>
    <row r="548" spans="1:5" ht="14.25" customHeight="1" x14ac:dyDescent="0.25">
      <c r="A548" s="1" t="s">
        <v>66</v>
      </c>
      <c r="B548" s="1" t="s">
        <v>144</v>
      </c>
      <c r="C548" s="1" t="s">
        <v>335</v>
      </c>
      <c r="D548" s="1">
        <v>65515</v>
      </c>
      <c r="E548" s="1">
        <v>7</v>
      </c>
    </row>
    <row r="549" spans="1:5" ht="14.25" customHeight="1" x14ac:dyDescent="0.25">
      <c r="A549" s="1" t="s">
        <v>31</v>
      </c>
      <c r="B549" s="1" t="s">
        <v>160</v>
      </c>
      <c r="C549" s="1" t="s">
        <v>335</v>
      </c>
      <c r="D549" s="1">
        <v>63472</v>
      </c>
      <c r="E549" s="1">
        <v>7</v>
      </c>
    </row>
    <row r="550" spans="1:5" ht="14.25" customHeight="1" x14ac:dyDescent="0.25">
      <c r="A550" s="1" t="s">
        <v>27</v>
      </c>
      <c r="B550" s="1" t="s">
        <v>36</v>
      </c>
      <c r="C550" s="1" t="s">
        <v>335</v>
      </c>
      <c r="D550" s="1">
        <v>86820</v>
      </c>
      <c r="E550" s="1">
        <v>9</v>
      </c>
    </row>
    <row r="551" spans="1:5" ht="14.25" customHeight="1" x14ac:dyDescent="0.25">
      <c r="A551" s="1" t="s">
        <v>13</v>
      </c>
      <c r="B551" s="1" t="s">
        <v>37</v>
      </c>
      <c r="C551" s="1" t="s">
        <v>335</v>
      </c>
      <c r="D551" s="1">
        <v>94925</v>
      </c>
      <c r="E551" s="1">
        <v>10</v>
      </c>
    </row>
    <row r="552" spans="1:5" ht="14.25" customHeight="1" x14ac:dyDescent="0.25">
      <c r="A552" s="1" t="s">
        <v>27</v>
      </c>
      <c r="B552" s="1" t="s">
        <v>106</v>
      </c>
      <c r="C552" s="1" t="s">
        <v>335</v>
      </c>
      <c r="D552" s="1">
        <v>31367</v>
      </c>
      <c r="E552" s="1">
        <v>9</v>
      </c>
    </row>
    <row r="553" spans="1:5" ht="14.25" customHeight="1" x14ac:dyDescent="0.25">
      <c r="A553" s="1" t="s">
        <v>5</v>
      </c>
      <c r="B553" s="1" t="s">
        <v>37</v>
      </c>
      <c r="C553" s="1" t="s">
        <v>336</v>
      </c>
      <c r="D553" s="1">
        <v>34448</v>
      </c>
      <c r="E553" s="1">
        <v>7</v>
      </c>
    </row>
    <row r="554" spans="1:5" ht="14.25" customHeight="1" x14ac:dyDescent="0.25">
      <c r="A554" s="1" t="s">
        <v>13</v>
      </c>
      <c r="B554" s="1" t="s">
        <v>237</v>
      </c>
      <c r="C554" s="1" t="s">
        <v>336</v>
      </c>
      <c r="D554" s="1">
        <v>53816</v>
      </c>
      <c r="E554" s="1">
        <v>7</v>
      </c>
    </row>
    <row r="555" spans="1:5" ht="14.25" customHeight="1" x14ac:dyDescent="0.25">
      <c r="A555" s="1" t="s">
        <v>66</v>
      </c>
      <c r="B555" s="1" t="s">
        <v>225</v>
      </c>
      <c r="C555" s="1" t="s">
        <v>337</v>
      </c>
      <c r="D555" s="1">
        <v>41134</v>
      </c>
      <c r="E555" s="1">
        <v>7</v>
      </c>
    </row>
    <row r="556" spans="1:5" ht="14.25" customHeight="1" x14ac:dyDescent="0.25">
      <c r="A556" s="1" t="s">
        <v>66</v>
      </c>
      <c r="B556" s="1" t="s">
        <v>338</v>
      </c>
      <c r="C556" s="1" t="s">
        <v>337</v>
      </c>
      <c r="D556" s="1">
        <v>46205</v>
      </c>
      <c r="E556" s="1">
        <v>6</v>
      </c>
    </row>
    <row r="557" spans="1:5" ht="14.25" customHeight="1" x14ac:dyDescent="0.25">
      <c r="A557" s="1" t="s">
        <v>66</v>
      </c>
      <c r="B557" s="1" t="s">
        <v>140</v>
      </c>
      <c r="C557" s="1" t="s">
        <v>337</v>
      </c>
      <c r="D557" s="1">
        <v>39105</v>
      </c>
      <c r="E557" s="1">
        <v>1</v>
      </c>
    </row>
    <row r="558" spans="1:5" ht="14.25" customHeight="1" x14ac:dyDescent="0.25">
      <c r="A558" s="1" t="s">
        <v>66</v>
      </c>
      <c r="B558" s="1" t="s">
        <v>148</v>
      </c>
      <c r="C558" s="1" t="s">
        <v>337</v>
      </c>
      <c r="D558" s="1">
        <v>81456</v>
      </c>
      <c r="E558" s="1">
        <v>2</v>
      </c>
    </row>
    <row r="559" spans="1:5" ht="14.25" customHeight="1" x14ac:dyDescent="0.25">
      <c r="A559" s="1" t="s">
        <v>5</v>
      </c>
      <c r="B559" s="1" t="s">
        <v>247</v>
      </c>
      <c r="C559" s="1" t="s">
        <v>337</v>
      </c>
      <c r="D559" s="1">
        <v>51536</v>
      </c>
      <c r="E559" s="1">
        <v>7</v>
      </c>
    </row>
    <row r="560" spans="1:5" ht="14.25" customHeight="1" x14ac:dyDescent="0.25">
      <c r="A560" s="1" t="s">
        <v>5</v>
      </c>
      <c r="B560" s="1" t="s">
        <v>90</v>
      </c>
      <c r="C560" s="1" t="s">
        <v>337</v>
      </c>
      <c r="D560" s="1">
        <v>90989</v>
      </c>
      <c r="E560" s="1">
        <v>3</v>
      </c>
    </row>
    <row r="561" spans="1:5" ht="14.25" customHeight="1" x14ac:dyDescent="0.25">
      <c r="A561" s="1" t="s">
        <v>15</v>
      </c>
      <c r="B561" s="1" t="s">
        <v>61</v>
      </c>
      <c r="C561" s="1" t="s">
        <v>337</v>
      </c>
      <c r="D561" s="1">
        <v>62781</v>
      </c>
      <c r="E561" s="1">
        <v>8</v>
      </c>
    </row>
    <row r="562" spans="1:5" ht="14.25" customHeight="1" x14ac:dyDescent="0.25">
      <c r="A562" s="1" t="s">
        <v>8</v>
      </c>
      <c r="B562" s="1" t="s">
        <v>88</v>
      </c>
      <c r="C562" s="1" t="s">
        <v>339</v>
      </c>
      <c r="D562" s="1">
        <v>94483</v>
      </c>
      <c r="E562" s="1">
        <v>10</v>
      </c>
    </row>
    <row r="563" spans="1:5" ht="14.25" customHeight="1" x14ac:dyDescent="0.25">
      <c r="A563" s="1" t="s">
        <v>66</v>
      </c>
      <c r="B563" s="1" t="s">
        <v>173</v>
      </c>
      <c r="C563" s="1" t="s">
        <v>339</v>
      </c>
      <c r="D563" s="1">
        <v>28797</v>
      </c>
      <c r="E563" s="1">
        <v>3</v>
      </c>
    </row>
    <row r="564" spans="1:5" ht="14.25" customHeight="1" x14ac:dyDescent="0.25">
      <c r="A564" s="1" t="s">
        <v>15</v>
      </c>
      <c r="B564" s="1" t="s">
        <v>256</v>
      </c>
      <c r="C564" s="1" t="s">
        <v>339</v>
      </c>
      <c r="D564" s="1">
        <v>65159</v>
      </c>
      <c r="E564" s="1">
        <v>7</v>
      </c>
    </row>
    <row r="565" spans="1:5" ht="14.25" customHeight="1" x14ac:dyDescent="0.25">
      <c r="A565" s="1" t="s">
        <v>23</v>
      </c>
      <c r="B565" s="1" t="s">
        <v>189</v>
      </c>
      <c r="C565" s="1" t="s">
        <v>340</v>
      </c>
      <c r="D565" s="1">
        <v>52719</v>
      </c>
      <c r="E565" s="1">
        <v>7</v>
      </c>
    </row>
    <row r="566" spans="1:5" ht="14.25" customHeight="1" x14ac:dyDescent="0.25">
      <c r="A566" s="1" t="s">
        <v>51</v>
      </c>
      <c r="B566" s="1" t="s">
        <v>229</v>
      </c>
      <c r="C566" s="1" t="s">
        <v>340</v>
      </c>
      <c r="D566" s="1">
        <v>34153</v>
      </c>
      <c r="E566" s="1">
        <v>3</v>
      </c>
    </row>
    <row r="567" spans="1:5" ht="14.25" customHeight="1" x14ac:dyDescent="0.25">
      <c r="A567" s="1" t="s">
        <v>40</v>
      </c>
      <c r="B567" s="1" t="s">
        <v>67</v>
      </c>
      <c r="C567" s="1" t="s">
        <v>341</v>
      </c>
      <c r="D567" s="1">
        <v>46012</v>
      </c>
      <c r="E567" s="1">
        <v>6</v>
      </c>
    </row>
    <row r="568" spans="1:5" ht="14.25" customHeight="1" x14ac:dyDescent="0.25">
      <c r="A568" s="1" t="s">
        <v>23</v>
      </c>
      <c r="B568" s="1" t="s">
        <v>72</v>
      </c>
      <c r="C568" s="1" t="s">
        <v>341</v>
      </c>
      <c r="D568" s="1">
        <v>38196</v>
      </c>
      <c r="E568" s="1">
        <v>1</v>
      </c>
    </row>
    <row r="569" spans="1:5" ht="14.25" customHeight="1" x14ac:dyDescent="0.25">
      <c r="A569" s="1" t="s">
        <v>31</v>
      </c>
      <c r="B569" s="1" t="s">
        <v>249</v>
      </c>
      <c r="C569" s="1" t="s">
        <v>342</v>
      </c>
      <c r="D569" s="1">
        <v>50779</v>
      </c>
      <c r="E569" s="1">
        <v>3</v>
      </c>
    </row>
    <row r="570" spans="1:5" ht="14.25" customHeight="1" x14ac:dyDescent="0.25">
      <c r="A570" s="1" t="s">
        <v>31</v>
      </c>
      <c r="B570" s="1" t="s">
        <v>169</v>
      </c>
      <c r="C570" s="1" t="s">
        <v>342</v>
      </c>
      <c r="D570" s="1">
        <v>17545</v>
      </c>
      <c r="E570" s="1">
        <v>7</v>
      </c>
    </row>
    <row r="571" spans="1:5" ht="14.25" customHeight="1" x14ac:dyDescent="0.25">
      <c r="A571" s="1" t="s">
        <v>66</v>
      </c>
      <c r="B571" s="1" t="s">
        <v>292</v>
      </c>
      <c r="C571" s="1" t="s">
        <v>342</v>
      </c>
      <c r="D571" s="1">
        <v>72303</v>
      </c>
      <c r="E571" s="1">
        <v>8</v>
      </c>
    </row>
    <row r="572" spans="1:5" ht="14.25" customHeight="1" x14ac:dyDescent="0.25">
      <c r="A572" s="1" t="s">
        <v>13</v>
      </c>
      <c r="B572" s="1" t="s">
        <v>220</v>
      </c>
      <c r="C572" s="1" t="s">
        <v>343</v>
      </c>
      <c r="D572" s="1">
        <v>14899</v>
      </c>
      <c r="E572" s="1">
        <v>8</v>
      </c>
    </row>
    <row r="573" spans="1:5" ht="14.25" customHeight="1" x14ac:dyDescent="0.25">
      <c r="A573" s="1" t="s">
        <v>13</v>
      </c>
      <c r="B573" s="1" t="s">
        <v>234</v>
      </c>
      <c r="C573" s="1" t="s">
        <v>343</v>
      </c>
      <c r="D573" s="1">
        <v>69633</v>
      </c>
      <c r="E573" s="1">
        <v>8</v>
      </c>
    </row>
    <row r="574" spans="1:5" ht="14.25" customHeight="1" x14ac:dyDescent="0.25">
      <c r="A574" s="1" t="s">
        <v>27</v>
      </c>
      <c r="B574" s="1" t="s">
        <v>224</v>
      </c>
      <c r="C574" s="1" t="s">
        <v>343</v>
      </c>
      <c r="D574" s="1">
        <v>12645</v>
      </c>
      <c r="E574" s="1">
        <v>2</v>
      </c>
    </row>
    <row r="575" spans="1:5" ht="14.25" customHeight="1" x14ac:dyDescent="0.25">
      <c r="A575" s="1" t="s">
        <v>23</v>
      </c>
      <c r="B575" s="1" t="s">
        <v>125</v>
      </c>
      <c r="C575" s="1" t="s">
        <v>343</v>
      </c>
      <c r="D575" s="1">
        <v>27987</v>
      </c>
      <c r="E575" s="1">
        <v>6</v>
      </c>
    </row>
    <row r="576" spans="1:5" ht="14.25" customHeight="1" x14ac:dyDescent="0.25">
      <c r="A576" s="1" t="s">
        <v>13</v>
      </c>
      <c r="B576" s="1" t="s">
        <v>126</v>
      </c>
      <c r="C576" s="1" t="s">
        <v>344</v>
      </c>
      <c r="D576" s="1">
        <v>26677</v>
      </c>
      <c r="E576" s="1">
        <v>6</v>
      </c>
    </row>
    <row r="577" spans="1:5" ht="14.25" customHeight="1" x14ac:dyDescent="0.25">
      <c r="A577" s="1" t="s">
        <v>66</v>
      </c>
      <c r="B577" s="1" t="s">
        <v>109</v>
      </c>
      <c r="C577" s="1" t="s">
        <v>344</v>
      </c>
      <c r="D577" s="1">
        <v>32609</v>
      </c>
      <c r="E577" s="1">
        <v>5</v>
      </c>
    </row>
    <row r="578" spans="1:5" ht="14.25" customHeight="1" x14ac:dyDescent="0.25">
      <c r="A578" s="1" t="s">
        <v>13</v>
      </c>
      <c r="B578" s="1" t="s">
        <v>92</v>
      </c>
      <c r="C578" s="1" t="s">
        <v>344</v>
      </c>
      <c r="D578" s="1">
        <v>76420</v>
      </c>
      <c r="E578" s="1">
        <v>10</v>
      </c>
    </row>
    <row r="579" spans="1:5" ht="14.25" customHeight="1" x14ac:dyDescent="0.25">
      <c r="A579" s="1" t="s">
        <v>23</v>
      </c>
      <c r="B579" s="1" t="s">
        <v>270</v>
      </c>
      <c r="C579" s="1" t="s">
        <v>345</v>
      </c>
      <c r="D579" s="1">
        <v>45530</v>
      </c>
      <c r="E579" s="1">
        <v>9</v>
      </c>
    </row>
    <row r="580" spans="1:5" ht="14.25" customHeight="1" x14ac:dyDescent="0.25">
      <c r="A580" s="1" t="s">
        <v>8</v>
      </c>
      <c r="B580" s="1" t="s">
        <v>163</v>
      </c>
      <c r="C580" s="1" t="s">
        <v>346</v>
      </c>
      <c r="D580" s="1">
        <v>97231</v>
      </c>
      <c r="E580" s="1">
        <v>7</v>
      </c>
    </row>
    <row r="581" spans="1:5" ht="14.25" customHeight="1" x14ac:dyDescent="0.25">
      <c r="A581" s="1" t="s">
        <v>15</v>
      </c>
      <c r="B581" s="1" t="s">
        <v>65</v>
      </c>
      <c r="C581" s="1" t="s">
        <v>346</v>
      </c>
      <c r="D581" s="1">
        <v>91670</v>
      </c>
      <c r="E581" s="1">
        <v>6</v>
      </c>
    </row>
    <row r="582" spans="1:5" ht="14.25" customHeight="1" x14ac:dyDescent="0.25">
      <c r="A582" s="1" t="s">
        <v>40</v>
      </c>
      <c r="B582" s="1" t="s">
        <v>268</v>
      </c>
      <c r="C582" s="1" t="s">
        <v>346</v>
      </c>
      <c r="D582" s="1">
        <v>96387</v>
      </c>
      <c r="E582" s="1">
        <v>9</v>
      </c>
    </row>
    <row r="583" spans="1:5" ht="14.25" customHeight="1" x14ac:dyDescent="0.25">
      <c r="A583" s="1" t="s">
        <v>31</v>
      </c>
      <c r="B583" s="1" t="s">
        <v>230</v>
      </c>
      <c r="C583" s="1" t="s">
        <v>347</v>
      </c>
      <c r="D583" s="1">
        <v>90059</v>
      </c>
      <c r="E583" s="1">
        <v>4</v>
      </c>
    </row>
    <row r="584" spans="1:5" ht="14.25" customHeight="1" x14ac:dyDescent="0.25">
      <c r="A584" s="1" t="s">
        <v>51</v>
      </c>
      <c r="B584" s="1" t="s">
        <v>124</v>
      </c>
      <c r="C584" s="1" t="s">
        <v>347</v>
      </c>
      <c r="D584" s="1">
        <v>54519</v>
      </c>
      <c r="E584" s="1">
        <v>10</v>
      </c>
    </row>
    <row r="585" spans="1:5" ht="14.25" customHeight="1" x14ac:dyDescent="0.25">
      <c r="A585" s="1" t="s">
        <v>23</v>
      </c>
      <c r="B585" s="1" t="s">
        <v>49</v>
      </c>
      <c r="C585" s="1" t="s">
        <v>348</v>
      </c>
      <c r="D585" s="1">
        <v>93832</v>
      </c>
      <c r="E585" s="1">
        <v>5</v>
      </c>
    </row>
    <row r="586" spans="1:5" ht="14.25" customHeight="1" x14ac:dyDescent="0.25">
      <c r="A586" s="1" t="s">
        <v>13</v>
      </c>
      <c r="B586" s="1" t="s">
        <v>210</v>
      </c>
      <c r="C586" s="1" t="s">
        <v>348</v>
      </c>
      <c r="D586" s="1">
        <v>64082</v>
      </c>
      <c r="E586" s="1">
        <v>7</v>
      </c>
    </row>
    <row r="587" spans="1:5" ht="14.25" customHeight="1" x14ac:dyDescent="0.25">
      <c r="A587" s="1" t="s">
        <v>40</v>
      </c>
      <c r="B587" s="1" t="s">
        <v>115</v>
      </c>
      <c r="C587" s="1" t="s">
        <v>348</v>
      </c>
      <c r="D587" s="1">
        <v>40031</v>
      </c>
      <c r="E587" s="1">
        <v>7</v>
      </c>
    </row>
    <row r="588" spans="1:5" ht="14.25" customHeight="1" x14ac:dyDescent="0.25">
      <c r="A588" s="1" t="s">
        <v>31</v>
      </c>
      <c r="B588" s="1" t="s">
        <v>116</v>
      </c>
      <c r="C588" s="1" t="s">
        <v>348</v>
      </c>
      <c r="D588" s="1">
        <v>45664</v>
      </c>
      <c r="E588" s="1">
        <v>2</v>
      </c>
    </row>
    <row r="589" spans="1:5" ht="14.25" customHeight="1" x14ac:dyDescent="0.25">
      <c r="A589" s="1" t="s">
        <v>8</v>
      </c>
      <c r="B589" s="1" t="s">
        <v>349</v>
      </c>
      <c r="C589" s="1" t="s">
        <v>348</v>
      </c>
      <c r="D589" s="1">
        <v>32038</v>
      </c>
      <c r="E589" s="1">
        <v>8</v>
      </c>
    </row>
    <row r="590" spans="1:5" ht="14.25" customHeight="1" x14ac:dyDescent="0.25">
      <c r="A590" s="1" t="s">
        <v>51</v>
      </c>
      <c r="B590" s="1" t="s">
        <v>45</v>
      </c>
      <c r="C590" s="1" t="s">
        <v>350</v>
      </c>
      <c r="D590" s="1">
        <v>17943</v>
      </c>
      <c r="E590" s="1">
        <v>9</v>
      </c>
    </row>
    <row r="591" spans="1:5" ht="14.25" customHeight="1" x14ac:dyDescent="0.25">
      <c r="A591" s="1" t="s">
        <v>51</v>
      </c>
      <c r="B591" s="1" t="s">
        <v>187</v>
      </c>
      <c r="C591" s="1" t="s">
        <v>350</v>
      </c>
      <c r="D591" s="1">
        <v>99614</v>
      </c>
      <c r="E591" s="1">
        <v>8</v>
      </c>
    </row>
    <row r="592" spans="1:5" ht="14.25" customHeight="1" x14ac:dyDescent="0.25">
      <c r="A592" s="1" t="s">
        <v>51</v>
      </c>
      <c r="B592" s="1" t="s">
        <v>176</v>
      </c>
      <c r="C592" s="1" t="s">
        <v>350</v>
      </c>
      <c r="D592" s="1">
        <v>13163</v>
      </c>
      <c r="E592" s="1">
        <v>4</v>
      </c>
    </row>
    <row r="593" spans="1:5" ht="14.25" customHeight="1" x14ac:dyDescent="0.25">
      <c r="A593" s="1" t="s">
        <v>15</v>
      </c>
      <c r="B593" s="1" t="s">
        <v>129</v>
      </c>
      <c r="C593" s="1" t="s">
        <v>351</v>
      </c>
      <c r="D593" s="1">
        <v>86581</v>
      </c>
      <c r="E593" s="1">
        <v>8</v>
      </c>
    </row>
    <row r="594" spans="1:5" ht="14.25" customHeight="1" x14ac:dyDescent="0.25">
      <c r="A594" s="1" t="s">
        <v>66</v>
      </c>
      <c r="B594" s="1" t="s">
        <v>186</v>
      </c>
      <c r="C594" s="1" t="s">
        <v>351</v>
      </c>
      <c r="D594" s="1">
        <v>20575</v>
      </c>
      <c r="E594" s="1">
        <v>5</v>
      </c>
    </row>
    <row r="595" spans="1:5" ht="14.25" customHeight="1" x14ac:dyDescent="0.25">
      <c r="A595" s="1" t="s">
        <v>51</v>
      </c>
      <c r="B595" s="1" t="s">
        <v>123</v>
      </c>
      <c r="C595" s="1" t="s">
        <v>351</v>
      </c>
      <c r="D595" s="1">
        <v>22036</v>
      </c>
      <c r="E595" s="1">
        <v>7</v>
      </c>
    </row>
    <row r="596" spans="1:5" ht="14.25" customHeight="1" x14ac:dyDescent="0.25">
      <c r="A596" s="1" t="s">
        <v>23</v>
      </c>
      <c r="B596" s="1" t="s">
        <v>9</v>
      </c>
      <c r="C596" s="1" t="s">
        <v>351</v>
      </c>
      <c r="D596" s="1">
        <v>75982</v>
      </c>
      <c r="E596" s="1">
        <v>1</v>
      </c>
    </row>
    <row r="597" spans="1:5" ht="14.25" customHeight="1" x14ac:dyDescent="0.25">
      <c r="A597" s="1" t="s">
        <v>31</v>
      </c>
      <c r="B597" s="1" t="s">
        <v>186</v>
      </c>
      <c r="C597" s="1" t="s">
        <v>351</v>
      </c>
      <c r="D597" s="1">
        <v>97870</v>
      </c>
      <c r="E597" s="1">
        <v>9</v>
      </c>
    </row>
    <row r="598" spans="1:5" ht="14.25" customHeight="1" x14ac:dyDescent="0.25">
      <c r="A598" s="1" t="s">
        <v>8</v>
      </c>
      <c r="B598" s="1" t="s">
        <v>352</v>
      </c>
      <c r="C598" s="1" t="s">
        <v>353</v>
      </c>
      <c r="D598" s="1">
        <v>30337</v>
      </c>
      <c r="E598" s="1">
        <v>6</v>
      </c>
    </row>
    <row r="599" spans="1:5" ht="14.25" customHeight="1" x14ac:dyDescent="0.25">
      <c r="A599" s="1" t="s">
        <v>23</v>
      </c>
      <c r="B599" s="1" t="s">
        <v>249</v>
      </c>
      <c r="C599" s="1" t="s">
        <v>353</v>
      </c>
      <c r="D599" s="1">
        <v>17002</v>
      </c>
      <c r="E599" s="1">
        <v>5</v>
      </c>
    </row>
    <row r="600" spans="1:5" ht="14.25" customHeight="1" x14ac:dyDescent="0.25">
      <c r="A600" s="1" t="s">
        <v>10</v>
      </c>
      <c r="B600" s="1" t="s">
        <v>301</v>
      </c>
      <c r="C600" s="1" t="s">
        <v>353</v>
      </c>
      <c r="D600" s="1">
        <v>84552</v>
      </c>
      <c r="E600" s="1">
        <v>6</v>
      </c>
    </row>
    <row r="601" spans="1:5" ht="14.25" customHeight="1" x14ac:dyDescent="0.25">
      <c r="A601" s="1" t="s">
        <v>27</v>
      </c>
      <c r="B601" s="1" t="s">
        <v>256</v>
      </c>
      <c r="C601" s="1" t="s">
        <v>354</v>
      </c>
      <c r="D601" s="1">
        <v>81771</v>
      </c>
      <c r="E601" s="1">
        <v>7</v>
      </c>
    </row>
    <row r="602" spans="1:5" ht="14.25" customHeight="1" x14ac:dyDescent="0.25">
      <c r="A602" s="1" t="s">
        <v>5</v>
      </c>
      <c r="B602" s="1" t="s">
        <v>206</v>
      </c>
      <c r="C602" s="1" t="s">
        <v>354</v>
      </c>
      <c r="D602" s="1">
        <v>86694</v>
      </c>
      <c r="E602" s="1">
        <v>5</v>
      </c>
    </row>
    <row r="603" spans="1:5" ht="14.25" customHeight="1" x14ac:dyDescent="0.25">
      <c r="A603" s="1" t="s">
        <v>66</v>
      </c>
      <c r="B603" s="1" t="s">
        <v>355</v>
      </c>
      <c r="C603" s="1" t="s">
        <v>354</v>
      </c>
      <c r="D603" s="1">
        <v>67383</v>
      </c>
      <c r="E603" s="1">
        <v>5</v>
      </c>
    </row>
    <row r="604" spans="1:5" ht="14.25" customHeight="1" x14ac:dyDescent="0.25">
      <c r="A604" s="1" t="s">
        <v>31</v>
      </c>
      <c r="B604" s="1" t="s">
        <v>52</v>
      </c>
      <c r="C604" s="1" t="s">
        <v>356</v>
      </c>
      <c r="D604" s="1">
        <v>97699</v>
      </c>
      <c r="E604" s="1">
        <v>1</v>
      </c>
    </row>
    <row r="605" spans="1:5" ht="14.25" customHeight="1" x14ac:dyDescent="0.25">
      <c r="A605" s="1" t="s">
        <v>8</v>
      </c>
      <c r="B605" s="1" t="s">
        <v>221</v>
      </c>
      <c r="C605" s="1" t="s">
        <v>356</v>
      </c>
      <c r="D605" s="1">
        <v>71679</v>
      </c>
      <c r="E605" s="1">
        <v>2</v>
      </c>
    </row>
    <row r="606" spans="1:5" ht="14.25" customHeight="1" x14ac:dyDescent="0.25">
      <c r="A606" s="1" t="s">
        <v>5</v>
      </c>
      <c r="B606" s="1" t="s">
        <v>72</v>
      </c>
      <c r="C606" s="1" t="s">
        <v>356</v>
      </c>
      <c r="D606" s="1">
        <v>75439</v>
      </c>
      <c r="E606" s="1">
        <v>6</v>
      </c>
    </row>
    <row r="607" spans="1:5" ht="14.25" customHeight="1" x14ac:dyDescent="0.25">
      <c r="A607" s="1" t="s">
        <v>10</v>
      </c>
      <c r="B607" s="1" t="s">
        <v>104</v>
      </c>
      <c r="C607" s="1" t="s">
        <v>356</v>
      </c>
      <c r="D607" s="1">
        <v>17939</v>
      </c>
      <c r="E607" s="1">
        <v>8</v>
      </c>
    </row>
    <row r="608" spans="1:5" ht="14.25" customHeight="1" x14ac:dyDescent="0.25">
      <c r="A608" s="1" t="s">
        <v>15</v>
      </c>
      <c r="B608" s="1" t="s">
        <v>272</v>
      </c>
      <c r="C608" s="1" t="s">
        <v>356</v>
      </c>
      <c r="D608" s="1">
        <v>88031</v>
      </c>
      <c r="E608" s="1">
        <v>1</v>
      </c>
    </row>
    <row r="609" spans="1:5" ht="14.25" customHeight="1" x14ac:dyDescent="0.25">
      <c r="A609" s="1" t="s">
        <v>8</v>
      </c>
      <c r="B609" s="1" t="s">
        <v>83</v>
      </c>
      <c r="C609" s="1" t="s">
        <v>356</v>
      </c>
      <c r="D609" s="1">
        <v>31101</v>
      </c>
      <c r="E609" s="1">
        <v>5</v>
      </c>
    </row>
    <row r="610" spans="1:5" ht="14.25" customHeight="1" x14ac:dyDescent="0.25">
      <c r="A610" s="1" t="s">
        <v>8</v>
      </c>
      <c r="B610" s="1" t="s">
        <v>251</v>
      </c>
      <c r="C610" s="1" t="s">
        <v>356</v>
      </c>
      <c r="D610" s="1">
        <v>41621</v>
      </c>
      <c r="E610" s="1">
        <v>3</v>
      </c>
    </row>
    <row r="611" spans="1:5" ht="14.25" customHeight="1" x14ac:dyDescent="0.25">
      <c r="A611" s="1" t="s">
        <v>8</v>
      </c>
      <c r="B611" s="1" t="s">
        <v>251</v>
      </c>
      <c r="C611" s="1" t="s">
        <v>356</v>
      </c>
      <c r="D611" s="1">
        <v>22590</v>
      </c>
      <c r="E611" s="1">
        <v>6</v>
      </c>
    </row>
    <row r="612" spans="1:5" ht="14.25" customHeight="1" x14ac:dyDescent="0.25">
      <c r="A612" s="1" t="s">
        <v>51</v>
      </c>
      <c r="B612" s="1" t="s">
        <v>9</v>
      </c>
      <c r="C612" s="1" t="s">
        <v>356</v>
      </c>
      <c r="D612" s="1">
        <v>85857</v>
      </c>
      <c r="E612" s="1">
        <v>3</v>
      </c>
    </row>
    <row r="613" spans="1:5" ht="14.25" customHeight="1" x14ac:dyDescent="0.25">
      <c r="A613" s="1" t="s">
        <v>76</v>
      </c>
      <c r="B613" s="1" t="s">
        <v>177</v>
      </c>
      <c r="C613" s="1" t="s">
        <v>357</v>
      </c>
      <c r="D613" s="1">
        <v>61511</v>
      </c>
      <c r="E613" s="1">
        <v>2</v>
      </c>
    </row>
    <row r="614" spans="1:5" ht="14.25" customHeight="1" x14ac:dyDescent="0.25">
      <c r="A614" s="1" t="s">
        <v>23</v>
      </c>
      <c r="B614" s="1" t="s">
        <v>83</v>
      </c>
      <c r="C614" s="1" t="s">
        <v>357</v>
      </c>
      <c r="D614" s="1">
        <v>88221</v>
      </c>
      <c r="E614" s="1">
        <v>8</v>
      </c>
    </row>
    <row r="615" spans="1:5" ht="14.25" customHeight="1" x14ac:dyDescent="0.25">
      <c r="A615" s="1" t="s">
        <v>13</v>
      </c>
      <c r="B615" s="1" t="s">
        <v>249</v>
      </c>
      <c r="C615" s="1" t="s">
        <v>357</v>
      </c>
      <c r="D615" s="1">
        <v>76957</v>
      </c>
      <c r="E615" s="1">
        <v>5</v>
      </c>
    </row>
    <row r="616" spans="1:5" ht="14.25" customHeight="1" x14ac:dyDescent="0.25">
      <c r="A616" s="1" t="s">
        <v>76</v>
      </c>
      <c r="B616" s="1" t="s">
        <v>63</v>
      </c>
      <c r="C616" s="1" t="s">
        <v>358</v>
      </c>
      <c r="D616" s="1">
        <v>74925</v>
      </c>
      <c r="E616" s="1">
        <v>9</v>
      </c>
    </row>
    <row r="617" spans="1:5" ht="14.25" customHeight="1" x14ac:dyDescent="0.25">
      <c r="A617" s="1" t="s">
        <v>15</v>
      </c>
      <c r="B617" s="1" t="s">
        <v>6</v>
      </c>
      <c r="C617" s="1" t="s">
        <v>358</v>
      </c>
      <c r="D617" s="1">
        <v>32483</v>
      </c>
      <c r="E617" s="1">
        <v>5</v>
      </c>
    </row>
    <row r="618" spans="1:5" ht="14.25" customHeight="1" x14ac:dyDescent="0.25">
      <c r="A618" s="1" t="s">
        <v>5</v>
      </c>
      <c r="B618" s="1" t="s">
        <v>359</v>
      </c>
      <c r="C618" s="1" t="s">
        <v>360</v>
      </c>
      <c r="D618" s="1">
        <v>33634</v>
      </c>
      <c r="E618" s="1">
        <v>6</v>
      </c>
    </row>
    <row r="619" spans="1:5" ht="14.25" customHeight="1" x14ac:dyDescent="0.25">
      <c r="A619" s="1" t="s">
        <v>8</v>
      </c>
      <c r="B619" s="1" t="s">
        <v>133</v>
      </c>
      <c r="C619" s="1" t="s">
        <v>360</v>
      </c>
      <c r="D619" s="1">
        <v>11150</v>
      </c>
      <c r="E619" s="1">
        <v>8</v>
      </c>
    </row>
    <row r="620" spans="1:5" ht="14.25" customHeight="1" x14ac:dyDescent="0.25">
      <c r="A620" s="1" t="s">
        <v>76</v>
      </c>
      <c r="B620" s="1" t="s">
        <v>230</v>
      </c>
      <c r="C620" s="1" t="s">
        <v>360</v>
      </c>
      <c r="D620" s="1">
        <v>24739</v>
      </c>
      <c r="E620" s="1">
        <v>7</v>
      </c>
    </row>
    <row r="621" spans="1:5" ht="14.25" customHeight="1" x14ac:dyDescent="0.25">
      <c r="A621" s="1" t="s">
        <v>23</v>
      </c>
      <c r="B621" s="1" t="s">
        <v>111</v>
      </c>
      <c r="C621" s="1" t="s">
        <v>360</v>
      </c>
      <c r="D621" s="1">
        <v>93299</v>
      </c>
      <c r="E621" s="1">
        <v>9</v>
      </c>
    </row>
    <row r="622" spans="1:5" ht="14.25" customHeight="1" x14ac:dyDescent="0.25">
      <c r="A622" s="1" t="s">
        <v>5</v>
      </c>
      <c r="B622" s="1" t="s">
        <v>143</v>
      </c>
      <c r="C622" s="1" t="s">
        <v>360</v>
      </c>
      <c r="D622" s="1">
        <v>15984</v>
      </c>
      <c r="E622" s="1">
        <v>3</v>
      </c>
    </row>
    <row r="623" spans="1:5" ht="14.25" customHeight="1" x14ac:dyDescent="0.25">
      <c r="A623" s="1" t="s">
        <v>8</v>
      </c>
      <c r="B623" s="1" t="s">
        <v>146</v>
      </c>
      <c r="C623" s="1" t="s">
        <v>361</v>
      </c>
      <c r="D623" s="1">
        <v>33275</v>
      </c>
      <c r="E623" s="1">
        <v>2</v>
      </c>
    </row>
    <row r="624" spans="1:5" ht="14.25" customHeight="1" x14ac:dyDescent="0.25">
      <c r="A624" s="1" t="s">
        <v>13</v>
      </c>
      <c r="B624" s="1" t="s">
        <v>65</v>
      </c>
      <c r="C624" s="1" t="s">
        <v>361</v>
      </c>
      <c r="D624" s="1">
        <v>86061</v>
      </c>
      <c r="E624" s="1">
        <v>7</v>
      </c>
    </row>
    <row r="625" spans="1:5" ht="14.25" customHeight="1" x14ac:dyDescent="0.25">
      <c r="A625" s="1" t="s">
        <v>76</v>
      </c>
      <c r="B625" s="1" t="s">
        <v>58</v>
      </c>
      <c r="C625" s="1" t="s">
        <v>361</v>
      </c>
      <c r="D625" s="1">
        <v>20608</v>
      </c>
      <c r="E625" s="1">
        <v>6</v>
      </c>
    </row>
    <row r="626" spans="1:5" ht="14.25" customHeight="1" x14ac:dyDescent="0.25">
      <c r="A626" s="1" t="s">
        <v>76</v>
      </c>
      <c r="B626" s="1" t="s">
        <v>249</v>
      </c>
      <c r="C626" s="1" t="s">
        <v>362</v>
      </c>
      <c r="D626" s="1">
        <v>33118</v>
      </c>
      <c r="E626" s="1">
        <v>9</v>
      </c>
    </row>
    <row r="627" spans="1:5" ht="14.25" customHeight="1" x14ac:dyDescent="0.25">
      <c r="A627" s="1" t="s">
        <v>27</v>
      </c>
      <c r="B627" s="1" t="s">
        <v>194</v>
      </c>
      <c r="C627" s="1" t="s">
        <v>362</v>
      </c>
      <c r="D627" s="1">
        <v>12327</v>
      </c>
      <c r="E627" s="1">
        <v>3</v>
      </c>
    </row>
    <row r="628" spans="1:5" ht="14.25" customHeight="1" x14ac:dyDescent="0.25">
      <c r="A628" s="1" t="s">
        <v>8</v>
      </c>
      <c r="B628" s="1" t="s">
        <v>109</v>
      </c>
      <c r="C628" s="1" t="s">
        <v>363</v>
      </c>
      <c r="D628" s="1">
        <v>64786</v>
      </c>
      <c r="E628" s="1">
        <v>7</v>
      </c>
    </row>
    <row r="629" spans="1:5" ht="14.25" customHeight="1" x14ac:dyDescent="0.25">
      <c r="A629" s="1" t="s">
        <v>31</v>
      </c>
      <c r="B629" s="1" t="s">
        <v>352</v>
      </c>
      <c r="C629" s="1" t="s">
        <v>363</v>
      </c>
      <c r="D629" s="1">
        <v>70977</v>
      </c>
      <c r="E629" s="1">
        <v>5</v>
      </c>
    </row>
    <row r="630" spans="1:5" ht="14.25" customHeight="1" x14ac:dyDescent="0.25">
      <c r="A630" s="1" t="s">
        <v>31</v>
      </c>
      <c r="B630" s="1" t="s">
        <v>219</v>
      </c>
      <c r="C630" s="1" t="s">
        <v>364</v>
      </c>
      <c r="D630" s="1">
        <v>18281</v>
      </c>
      <c r="E630" s="1">
        <v>5</v>
      </c>
    </row>
    <row r="631" spans="1:5" ht="14.25" customHeight="1" x14ac:dyDescent="0.25">
      <c r="A631" s="1" t="s">
        <v>13</v>
      </c>
      <c r="B631" s="1" t="s">
        <v>151</v>
      </c>
      <c r="C631" s="1" t="s">
        <v>364</v>
      </c>
      <c r="D631" s="1">
        <v>43722</v>
      </c>
      <c r="E631" s="1">
        <v>8</v>
      </c>
    </row>
    <row r="632" spans="1:5" ht="14.25" customHeight="1" x14ac:dyDescent="0.25">
      <c r="A632" s="1" t="s">
        <v>40</v>
      </c>
      <c r="B632" s="1" t="s">
        <v>139</v>
      </c>
      <c r="C632" s="1" t="s">
        <v>364</v>
      </c>
      <c r="D632" s="1">
        <v>84926</v>
      </c>
      <c r="E632" s="1">
        <v>5</v>
      </c>
    </row>
    <row r="633" spans="1:5" ht="14.25" customHeight="1" x14ac:dyDescent="0.25">
      <c r="A633" s="1" t="s">
        <v>8</v>
      </c>
      <c r="B633" s="1" t="s">
        <v>177</v>
      </c>
      <c r="C633" s="1" t="s">
        <v>365</v>
      </c>
      <c r="D633" s="1">
        <v>85155</v>
      </c>
      <c r="E633" s="1">
        <v>6</v>
      </c>
    </row>
    <row r="634" spans="1:5" ht="14.25" customHeight="1" x14ac:dyDescent="0.25">
      <c r="A634" s="1" t="s">
        <v>10</v>
      </c>
      <c r="B634" s="1" t="s">
        <v>43</v>
      </c>
      <c r="C634" s="1" t="s">
        <v>365</v>
      </c>
      <c r="D634" s="1">
        <v>78585</v>
      </c>
      <c r="E634" s="1">
        <v>7</v>
      </c>
    </row>
    <row r="635" spans="1:5" ht="14.25" customHeight="1" x14ac:dyDescent="0.25">
      <c r="A635" s="1" t="s">
        <v>27</v>
      </c>
      <c r="B635" s="1" t="s">
        <v>221</v>
      </c>
      <c r="C635" s="1" t="s">
        <v>365</v>
      </c>
      <c r="D635" s="1">
        <v>32913</v>
      </c>
      <c r="E635" s="1">
        <v>7</v>
      </c>
    </row>
    <row r="636" spans="1:5" ht="14.25" customHeight="1" x14ac:dyDescent="0.25">
      <c r="A636" s="1" t="s">
        <v>76</v>
      </c>
      <c r="B636" s="1" t="s">
        <v>168</v>
      </c>
      <c r="C636" s="1" t="s">
        <v>365</v>
      </c>
      <c r="D636" s="1">
        <v>21655</v>
      </c>
      <c r="E636" s="1">
        <v>8</v>
      </c>
    </row>
    <row r="637" spans="1:5" ht="14.25" customHeight="1" x14ac:dyDescent="0.25">
      <c r="A637" s="1" t="s">
        <v>15</v>
      </c>
      <c r="B637" s="1" t="s">
        <v>324</v>
      </c>
      <c r="C637" s="1" t="s">
        <v>365</v>
      </c>
      <c r="D637" s="1">
        <v>47747</v>
      </c>
      <c r="E637" s="1">
        <v>7</v>
      </c>
    </row>
    <row r="638" spans="1:5" ht="14.25" customHeight="1" x14ac:dyDescent="0.25">
      <c r="A638" s="1" t="s">
        <v>10</v>
      </c>
      <c r="B638" s="1" t="s">
        <v>366</v>
      </c>
      <c r="C638" s="1" t="s">
        <v>365</v>
      </c>
      <c r="D638" s="1">
        <v>27992</v>
      </c>
      <c r="E638" s="1">
        <v>7</v>
      </c>
    </row>
    <row r="639" spans="1:5" ht="14.25" customHeight="1" x14ac:dyDescent="0.25">
      <c r="A639" s="1" t="s">
        <v>13</v>
      </c>
      <c r="B639" s="1" t="s">
        <v>45</v>
      </c>
      <c r="C639" s="1" t="s">
        <v>365</v>
      </c>
      <c r="D639" s="1">
        <v>37290</v>
      </c>
      <c r="E639" s="1">
        <v>9</v>
      </c>
    </row>
    <row r="640" spans="1:5" ht="14.25" customHeight="1" x14ac:dyDescent="0.25">
      <c r="A640" s="1" t="s">
        <v>13</v>
      </c>
      <c r="B640" s="1" t="s">
        <v>21</v>
      </c>
      <c r="C640" s="1" t="s">
        <v>365</v>
      </c>
      <c r="D640" s="1">
        <v>95826</v>
      </c>
      <c r="E640" s="1">
        <v>7</v>
      </c>
    </row>
    <row r="641" spans="1:5" ht="14.25" customHeight="1" x14ac:dyDescent="0.25">
      <c r="A641" s="1" t="s">
        <v>13</v>
      </c>
      <c r="B641" s="1" t="s">
        <v>124</v>
      </c>
      <c r="C641" s="1" t="s">
        <v>365</v>
      </c>
      <c r="D641" s="1">
        <v>75993</v>
      </c>
      <c r="E641" s="1">
        <v>3</v>
      </c>
    </row>
    <row r="642" spans="1:5" ht="14.25" customHeight="1" x14ac:dyDescent="0.25">
      <c r="A642" s="1" t="s">
        <v>10</v>
      </c>
      <c r="B642" s="1" t="s">
        <v>173</v>
      </c>
      <c r="C642" s="1" t="s">
        <v>365</v>
      </c>
      <c r="D642" s="1">
        <v>49542</v>
      </c>
      <c r="E642" s="1">
        <v>10</v>
      </c>
    </row>
    <row r="643" spans="1:5" ht="14.25" customHeight="1" x14ac:dyDescent="0.25">
      <c r="A643" s="1" t="s">
        <v>10</v>
      </c>
      <c r="B643" s="1" t="s">
        <v>168</v>
      </c>
      <c r="C643" s="1" t="s">
        <v>367</v>
      </c>
      <c r="D643" s="1">
        <v>47663</v>
      </c>
      <c r="E643" s="1">
        <v>8</v>
      </c>
    </row>
    <row r="644" spans="1:5" ht="14.25" customHeight="1" x14ac:dyDescent="0.25">
      <c r="A644" s="1" t="s">
        <v>15</v>
      </c>
      <c r="B644" s="1" t="s">
        <v>160</v>
      </c>
      <c r="C644" s="1" t="s">
        <v>367</v>
      </c>
      <c r="D644" s="1">
        <v>95144</v>
      </c>
      <c r="E644" s="1">
        <v>9</v>
      </c>
    </row>
    <row r="645" spans="1:5" ht="14.25" customHeight="1" x14ac:dyDescent="0.25">
      <c r="A645" s="1" t="s">
        <v>10</v>
      </c>
      <c r="B645" s="1" t="s">
        <v>134</v>
      </c>
      <c r="C645" s="1" t="s">
        <v>367</v>
      </c>
      <c r="D645" s="1">
        <v>55092</v>
      </c>
      <c r="E645" s="1">
        <v>8</v>
      </c>
    </row>
    <row r="646" spans="1:5" ht="14.25" customHeight="1" x14ac:dyDescent="0.25">
      <c r="A646" s="1" t="s">
        <v>8</v>
      </c>
      <c r="B646" s="1" t="s">
        <v>368</v>
      </c>
      <c r="C646" s="1" t="s">
        <v>369</v>
      </c>
      <c r="D646" s="1">
        <v>70480</v>
      </c>
      <c r="E646" s="1">
        <v>4</v>
      </c>
    </row>
    <row r="647" spans="1:5" ht="14.25" customHeight="1" x14ac:dyDescent="0.25">
      <c r="A647" s="1" t="s">
        <v>23</v>
      </c>
      <c r="B647" s="1" t="s">
        <v>123</v>
      </c>
      <c r="C647" s="1" t="s">
        <v>370</v>
      </c>
      <c r="D647" s="1">
        <v>44860</v>
      </c>
      <c r="E647" s="1">
        <v>1</v>
      </c>
    </row>
    <row r="648" spans="1:5" ht="14.25" customHeight="1" x14ac:dyDescent="0.25">
      <c r="A648" s="1" t="s">
        <v>66</v>
      </c>
      <c r="B648" s="1" t="s">
        <v>123</v>
      </c>
      <c r="C648" s="1" t="s">
        <v>370</v>
      </c>
      <c r="D648" s="1">
        <v>64419</v>
      </c>
      <c r="E648" s="1">
        <v>6</v>
      </c>
    </row>
    <row r="649" spans="1:5" ht="14.25" customHeight="1" x14ac:dyDescent="0.25">
      <c r="A649" s="1" t="s">
        <v>8</v>
      </c>
      <c r="B649" s="1" t="s">
        <v>181</v>
      </c>
      <c r="C649" s="1" t="s">
        <v>370</v>
      </c>
      <c r="D649" s="1">
        <v>55995</v>
      </c>
      <c r="E649" s="1">
        <v>4</v>
      </c>
    </row>
    <row r="650" spans="1:5" ht="14.25" customHeight="1" x14ac:dyDescent="0.25">
      <c r="A650" s="1" t="s">
        <v>76</v>
      </c>
      <c r="B650" s="1" t="s">
        <v>191</v>
      </c>
      <c r="C650" s="1" t="s">
        <v>370</v>
      </c>
      <c r="D650" s="1">
        <v>62469</v>
      </c>
      <c r="E650" s="1">
        <v>9</v>
      </c>
    </row>
    <row r="651" spans="1:5" ht="14.25" customHeight="1" x14ac:dyDescent="0.25">
      <c r="A651" s="1" t="s">
        <v>51</v>
      </c>
      <c r="B651" s="1" t="s">
        <v>272</v>
      </c>
      <c r="C651" s="1" t="s">
        <v>371</v>
      </c>
      <c r="D651" s="1">
        <v>63870</v>
      </c>
      <c r="E651" s="1">
        <v>6</v>
      </c>
    </row>
    <row r="652" spans="1:5" ht="14.25" customHeight="1" x14ac:dyDescent="0.25">
      <c r="A652" s="1" t="s">
        <v>40</v>
      </c>
      <c r="B652" s="1" t="s">
        <v>213</v>
      </c>
      <c r="C652" s="1" t="s">
        <v>371</v>
      </c>
      <c r="D652" s="1">
        <v>22241</v>
      </c>
      <c r="E652" s="1">
        <v>6</v>
      </c>
    </row>
    <row r="653" spans="1:5" ht="14.25" customHeight="1" x14ac:dyDescent="0.25">
      <c r="A653" s="1" t="s">
        <v>5</v>
      </c>
      <c r="B653" s="1" t="s">
        <v>82</v>
      </c>
      <c r="C653" s="1" t="s">
        <v>372</v>
      </c>
      <c r="D653" s="1">
        <v>32925</v>
      </c>
      <c r="E653" s="1">
        <v>9</v>
      </c>
    </row>
    <row r="654" spans="1:5" ht="14.25" customHeight="1" x14ac:dyDescent="0.25">
      <c r="A654" s="1" t="s">
        <v>76</v>
      </c>
      <c r="B654" s="1" t="s">
        <v>349</v>
      </c>
      <c r="C654" s="1" t="s">
        <v>372</v>
      </c>
      <c r="D654" s="1">
        <v>70786</v>
      </c>
      <c r="E654" s="1">
        <v>9</v>
      </c>
    </row>
    <row r="655" spans="1:5" ht="14.25" customHeight="1" x14ac:dyDescent="0.25">
      <c r="A655" s="1" t="s">
        <v>76</v>
      </c>
      <c r="B655" s="1" t="s">
        <v>6</v>
      </c>
      <c r="C655" s="1" t="s">
        <v>372</v>
      </c>
      <c r="D655" s="1">
        <v>55435</v>
      </c>
      <c r="E655" s="1">
        <v>3</v>
      </c>
    </row>
    <row r="656" spans="1:5" ht="14.25" customHeight="1" x14ac:dyDescent="0.25">
      <c r="A656" s="1" t="s">
        <v>10</v>
      </c>
      <c r="B656" s="1" t="s">
        <v>202</v>
      </c>
      <c r="C656" s="1" t="s">
        <v>372</v>
      </c>
      <c r="D656" s="1">
        <v>51014</v>
      </c>
      <c r="E656" s="1">
        <v>6</v>
      </c>
    </row>
    <row r="657" spans="1:5" ht="14.25" customHeight="1" x14ac:dyDescent="0.25">
      <c r="A657" s="1" t="s">
        <v>27</v>
      </c>
      <c r="B657" s="1" t="s">
        <v>92</v>
      </c>
      <c r="C657" s="1" t="s">
        <v>372</v>
      </c>
      <c r="D657" s="1">
        <v>17778</v>
      </c>
      <c r="E657" s="1">
        <v>7</v>
      </c>
    </row>
    <row r="658" spans="1:5" ht="14.25" customHeight="1" x14ac:dyDescent="0.25">
      <c r="A658" s="1" t="s">
        <v>23</v>
      </c>
      <c r="B658" s="1" t="s">
        <v>373</v>
      </c>
      <c r="C658" s="1" t="s">
        <v>372</v>
      </c>
      <c r="D658" s="1">
        <v>96049</v>
      </c>
      <c r="E658" s="1">
        <v>1</v>
      </c>
    </row>
    <row r="659" spans="1:5" ht="14.25" customHeight="1" x14ac:dyDescent="0.25">
      <c r="A659" s="1" t="s">
        <v>23</v>
      </c>
      <c r="B659" s="1" t="s">
        <v>106</v>
      </c>
      <c r="C659" s="1" t="s">
        <v>372</v>
      </c>
      <c r="D659" s="1">
        <v>38491</v>
      </c>
      <c r="E659" s="1">
        <v>9</v>
      </c>
    </row>
    <row r="660" spans="1:5" ht="14.25" customHeight="1" x14ac:dyDescent="0.25">
      <c r="A660" s="1" t="s">
        <v>13</v>
      </c>
      <c r="B660" s="1" t="s">
        <v>146</v>
      </c>
      <c r="C660" s="1" t="s">
        <v>372</v>
      </c>
      <c r="D660" s="1">
        <v>19413</v>
      </c>
      <c r="E660" s="1">
        <v>8</v>
      </c>
    </row>
    <row r="661" spans="1:5" ht="14.25" customHeight="1" x14ac:dyDescent="0.25">
      <c r="A661" s="1" t="s">
        <v>40</v>
      </c>
      <c r="B661" s="1" t="s">
        <v>225</v>
      </c>
      <c r="C661" s="1" t="s">
        <v>372</v>
      </c>
      <c r="D661" s="1">
        <v>53841</v>
      </c>
      <c r="E661" s="1">
        <v>7</v>
      </c>
    </row>
    <row r="662" spans="1:5" ht="14.25" customHeight="1" x14ac:dyDescent="0.25">
      <c r="A662" s="1" t="s">
        <v>23</v>
      </c>
      <c r="B662" s="1" t="s">
        <v>121</v>
      </c>
      <c r="C662" s="1" t="s">
        <v>372</v>
      </c>
      <c r="D662" s="1">
        <v>28254</v>
      </c>
      <c r="E662" s="1">
        <v>4</v>
      </c>
    </row>
    <row r="663" spans="1:5" ht="14.25" customHeight="1" x14ac:dyDescent="0.25">
      <c r="A663" s="1" t="s">
        <v>40</v>
      </c>
      <c r="B663" s="1" t="s">
        <v>77</v>
      </c>
      <c r="C663" s="1" t="s">
        <v>374</v>
      </c>
      <c r="D663" s="1">
        <v>40294</v>
      </c>
      <c r="E663" s="1">
        <v>6</v>
      </c>
    </row>
    <row r="664" spans="1:5" ht="14.25" customHeight="1" x14ac:dyDescent="0.25">
      <c r="A664" s="1" t="s">
        <v>13</v>
      </c>
      <c r="B664" s="1" t="s">
        <v>311</v>
      </c>
      <c r="C664" s="1" t="s">
        <v>374</v>
      </c>
      <c r="D664" s="1">
        <v>83865</v>
      </c>
      <c r="E664" s="1">
        <v>5</v>
      </c>
    </row>
    <row r="665" spans="1:5" ht="14.25" customHeight="1" x14ac:dyDescent="0.25">
      <c r="A665" s="1" t="s">
        <v>51</v>
      </c>
      <c r="B665" s="1" t="s">
        <v>197</v>
      </c>
      <c r="C665" s="1" t="s">
        <v>374</v>
      </c>
      <c r="D665" s="1">
        <v>74745</v>
      </c>
      <c r="E665" s="1">
        <v>5</v>
      </c>
    </row>
    <row r="666" spans="1:5" ht="14.25" customHeight="1" x14ac:dyDescent="0.25">
      <c r="A666" s="1" t="s">
        <v>66</v>
      </c>
      <c r="B666" s="1" t="s">
        <v>278</v>
      </c>
      <c r="C666" s="1" t="s">
        <v>374</v>
      </c>
      <c r="D666" s="1">
        <v>14031</v>
      </c>
      <c r="E666" s="1">
        <v>7</v>
      </c>
    </row>
    <row r="667" spans="1:5" ht="14.25" customHeight="1" x14ac:dyDescent="0.25">
      <c r="A667" s="1" t="s">
        <v>27</v>
      </c>
      <c r="B667" s="1" t="s">
        <v>146</v>
      </c>
      <c r="C667" s="1" t="s">
        <v>375</v>
      </c>
      <c r="D667" s="1">
        <v>89152</v>
      </c>
      <c r="E667" s="1">
        <v>7</v>
      </c>
    </row>
    <row r="668" spans="1:5" ht="14.25" customHeight="1" x14ac:dyDescent="0.25">
      <c r="A668" s="1" t="s">
        <v>10</v>
      </c>
      <c r="B668" s="1" t="s">
        <v>301</v>
      </c>
      <c r="C668" s="1" t="s">
        <v>375</v>
      </c>
      <c r="D668" s="1">
        <v>10312</v>
      </c>
      <c r="E668" s="1">
        <v>6</v>
      </c>
    </row>
    <row r="669" spans="1:5" ht="14.25" customHeight="1" x14ac:dyDescent="0.25">
      <c r="A669" s="1" t="s">
        <v>5</v>
      </c>
      <c r="B669" s="1" t="s">
        <v>91</v>
      </c>
      <c r="C669" s="1" t="s">
        <v>376</v>
      </c>
      <c r="D669" s="1">
        <v>62118</v>
      </c>
      <c r="E669" s="1">
        <v>10</v>
      </c>
    </row>
    <row r="670" spans="1:5" ht="14.25" customHeight="1" x14ac:dyDescent="0.25">
      <c r="A670" s="1" t="s">
        <v>5</v>
      </c>
      <c r="B670" s="1" t="s">
        <v>17</v>
      </c>
      <c r="C670" s="1" t="s">
        <v>376</v>
      </c>
      <c r="D670" s="1">
        <v>49562</v>
      </c>
      <c r="E670" s="1">
        <v>5</v>
      </c>
    </row>
    <row r="671" spans="1:5" ht="14.25" customHeight="1" x14ac:dyDescent="0.25">
      <c r="A671" s="1" t="s">
        <v>76</v>
      </c>
      <c r="B671" s="1" t="s">
        <v>252</v>
      </c>
      <c r="C671" s="1" t="s">
        <v>377</v>
      </c>
      <c r="D671" s="1">
        <v>62763</v>
      </c>
      <c r="E671" s="1">
        <v>9</v>
      </c>
    </row>
    <row r="672" spans="1:5" ht="14.25" customHeight="1" x14ac:dyDescent="0.25">
      <c r="A672" s="1" t="s">
        <v>51</v>
      </c>
      <c r="B672" s="1" t="s">
        <v>140</v>
      </c>
      <c r="C672" s="1" t="s">
        <v>377</v>
      </c>
      <c r="D672" s="1">
        <v>45268</v>
      </c>
      <c r="E672" s="1">
        <v>5</v>
      </c>
    </row>
    <row r="673" spans="1:5" ht="14.25" customHeight="1" x14ac:dyDescent="0.25">
      <c r="A673" s="1" t="s">
        <v>5</v>
      </c>
      <c r="B673" s="1" t="s">
        <v>46</v>
      </c>
      <c r="C673" s="1" t="s">
        <v>377</v>
      </c>
      <c r="D673" s="1">
        <v>65669</v>
      </c>
      <c r="E673" s="1">
        <v>8</v>
      </c>
    </row>
    <row r="674" spans="1:5" ht="14.25" customHeight="1" x14ac:dyDescent="0.25">
      <c r="A674" s="1" t="s">
        <v>27</v>
      </c>
      <c r="B674" s="1" t="s">
        <v>252</v>
      </c>
      <c r="C674" s="1" t="s">
        <v>377</v>
      </c>
      <c r="D674" s="1">
        <v>14795</v>
      </c>
      <c r="E674" s="1">
        <v>8</v>
      </c>
    </row>
    <row r="675" spans="1:5" ht="14.25" customHeight="1" x14ac:dyDescent="0.25">
      <c r="A675" s="1" t="s">
        <v>66</v>
      </c>
      <c r="B675" s="1" t="s">
        <v>82</v>
      </c>
      <c r="C675" s="1" t="s">
        <v>378</v>
      </c>
      <c r="D675" s="1">
        <v>87574</v>
      </c>
      <c r="E675" s="1">
        <v>4</v>
      </c>
    </row>
    <row r="676" spans="1:5" ht="14.25" customHeight="1" x14ac:dyDescent="0.25">
      <c r="A676" s="1" t="s">
        <v>66</v>
      </c>
      <c r="B676" s="1" t="s">
        <v>148</v>
      </c>
      <c r="C676" s="1" t="s">
        <v>378</v>
      </c>
      <c r="D676" s="1">
        <v>16760</v>
      </c>
      <c r="E676" s="1">
        <v>9</v>
      </c>
    </row>
    <row r="677" spans="1:5" ht="14.25" customHeight="1" x14ac:dyDescent="0.25">
      <c r="A677" s="1" t="s">
        <v>27</v>
      </c>
      <c r="B677" s="1" t="s">
        <v>272</v>
      </c>
      <c r="C677" s="1" t="s">
        <v>378</v>
      </c>
      <c r="D677" s="1">
        <v>21347</v>
      </c>
      <c r="E677" s="1">
        <v>7</v>
      </c>
    </row>
    <row r="678" spans="1:5" ht="14.25" customHeight="1" x14ac:dyDescent="0.25">
      <c r="A678" s="1" t="s">
        <v>66</v>
      </c>
      <c r="B678" s="1" t="s">
        <v>251</v>
      </c>
      <c r="C678" s="1" t="s">
        <v>378</v>
      </c>
      <c r="D678" s="1">
        <v>62780</v>
      </c>
      <c r="E678" s="1">
        <v>2</v>
      </c>
    </row>
    <row r="679" spans="1:5" ht="14.25" customHeight="1" x14ac:dyDescent="0.25">
      <c r="A679" s="1" t="s">
        <v>27</v>
      </c>
      <c r="B679" s="1" t="s">
        <v>63</v>
      </c>
      <c r="C679" s="1" t="s">
        <v>378</v>
      </c>
      <c r="D679" s="1">
        <v>67688</v>
      </c>
      <c r="E679" s="1">
        <v>6</v>
      </c>
    </row>
    <row r="680" spans="1:5" ht="14.25" customHeight="1" x14ac:dyDescent="0.25">
      <c r="A680" s="1" t="s">
        <v>27</v>
      </c>
      <c r="B680" s="1" t="s">
        <v>270</v>
      </c>
      <c r="C680" s="1" t="s">
        <v>378</v>
      </c>
      <c r="D680" s="1">
        <v>44612</v>
      </c>
      <c r="E680" s="1">
        <v>6</v>
      </c>
    </row>
    <row r="681" spans="1:5" ht="14.25" customHeight="1" x14ac:dyDescent="0.25">
      <c r="A681" s="1" t="s">
        <v>51</v>
      </c>
      <c r="B681" s="1" t="s">
        <v>78</v>
      </c>
      <c r="C681" s="1" t="s">
        <v>378</v>
      </c>
      <c r="D681" s="1">
        <v>11854</v>
      </c>
      <c r="E681" s="1">
        <v>4</v>
      </c>
    </row>
    <row r="682" spans="1:5" ht="14.25" customHeight="1" x14ac:dyDescent="0.25">
      <c r="A682" s="1" t="s">
        <v>13</v>
      </c>
      <c r="B682" s="1" t="s">
        <v>300</v>
      </c>
      <c r="C682" s="1" t="s">
        <v>378</v>
      </c>
      <c r="D682" s="1">
        <v>47358</v>
      </c>
      <c r="E682" s="1">
        <v>3</v>
      </c>
    </row>
    <row r="683" spans="1:5" ht="14.25" customHeight="1" x14ac:dyDescent="0.25">
      <c r="A683" s="1" t="s">
        <v>13</v>
      </c>
      <c r="B683" s="1" t="s">
        <v>61</v>
      </c>
      <c r="C683" s="1" t="s">
        <v>378</v>
      </c>
      <c r="D683" s="1">
        <v>79089</v>
      </c>
      <c r="E683" s="1">
        <v>8</v>
      </c>
    </row>
    <row r="684" spans="1:5" ht="14.25" customHeight="1" x14ac:dyDescent="0.25">
      <c r="A684" s="1" t="s">
        <v>66</v>
      </c>
      <c r="B684" s="1" t="s">
        <v>56</v>
      </c>
      <c r="C684" s="1" t="s">
        <v>378</v>
      </c>
      <c r="D684" s="1">
        <v>97851</v>
      </c>
      <c r="E684" s="1">
        <v>9</v>
      </c>
    </row>
    <row r="685" spans="1:5" ht="14.25" customHeight="1" x14ac:dyDescent="0.25">
      <c r="A685" s="1" t="s">
        <v>5</v>
      </c>
      <c r="B685" s="1" t="s">
        <v>155</v>
      </c>
      <c r="C685" s="1" t="s">
        <v>378</v>
      </c>
      <c r="D685" s="1">
        <v>52654</v>
      </c>
      <c r="E685" s="1">
        <v>7</v>
      </c>
    </row>
    <row r="686" spans="1:5" ht="14.25" customHeight="1" x14ac:dyDescent="0.25">
      <c r="A686" s="1" t="s">
        <v>76</v>
      </c>
      <c r="B686" s="1" t="s">
        <v>32</v>
      </c>
      <c r="C686" s="1" t="s">
        <v>378</v>
      </c>
      <c r="D686" s="1">
        <v>61505</v>
      </c>
      <c r="E686" s="1">
        <v>4</v>
      </c>
    </row>
    <row r="687" spans="1:5" ht="14.25" customHeight="1" x14ac:dyDescent="0.25">
      <c r="A687" s="1" t="s">
        <v>8</v>
      </c>
      <c r="B687" s="1" t="s">
        <v>196</v>
      </c>
      <c r="C687" s="1" t="s">
        <v>378</v>
      </c>
      <c r="D687" s="1">
        <v>64370</v>
      </c>
      <c r="E687" s="1">
        <v>10</v>
      </c>
    </row>
    <row r="688" spans="1:5" ht="14.25" customHeight="1" x14ac:dyDescent="0.25">
      <c r="A688" s="1" t="s">
        <v>8</v>
      </c>
      <c r="B688" s="1" t="s">
        <v>249</v>
      </c>
      <c r="C688" s="1" t="s">
        <v>379</v>
      </c>
      <c r="D688" s="1">
        <v>43779</v>
      </c>
      <c r="E688" s="1">
        <v>9</v>
      </c>
    </row>
    <row r="689" spans="1:5" ht="14.25" customHeight="1" x14ac:dyDescent="0.25">
      <c r="A689" s="1" t="s">
        <v>5</v>
      </c>
      <c r="B689" s="1" t="s">
        <v>46</v>
      </c>
      <c r="C689" s="1" t="s">
        <v>379</v>
      </c>
      <c r="D689" s="1">
        <v>15275</v>
      </c>
      <c r="E689" s="1">
        <v>5</v>
      </c>
    </row>
    <row r="690" spans="1:5" ht="14.25" customHeight="1" x14ac:dyDescent="0.25">
      <c r="A690" s="1" t="s">
        <v>13</v>
      </c>
      <c r="B690" s="1" t="s">
        <v>169</v>
      </c>
      <c r="C690" s="1" t="s">
        <v>380</v>
      </c>
      <c r="D690" s="1">
        <v>49747</v>
      </c>
      <c r="E690" s="1">
        <v>10</v>
      </c>
    </row>
    <row r="691" spans="1:5" ht="14.25" customHeight="1" x14ac:dyDescent="0.25">
      <c r="A691" s="1" t="s">
        <v>13</v>
      </c>
      <c r="B691" s="1" t="s">
        <v>300</v>
      </c>
      <c r="C691" s="1" t="s">
        <v>380</v>
      </c>
      <c r="D691" s="1">
        <v>57045</v>
      </c>
      <c r="E691" s="1">
        <v>5</v>
      </c>
    </row>
    <row r="692" spans="1:5" ht="14.25" customHeight="1" x14ac:dyDescent="0.25">
      <c r="A692" s="1" t="s">
        <v>31</v>
      </c>
      <c r="B692" s="1" t="s">
        <v>152</v>
      </c>
      <c r="C692" s="1" t="s">
        <v>380</v>
      </c>
      <c r="D692" s="1">
        <v>35644</v>
      </c>
      <c r="E692" s="1">
        <v>8</v>
      </c>
    </row>
    <row r="693" spans="1:5" ht="14.25" customHeight="1" x14ac:dyDescent="0.25">
      <c r="A693" s="1" t="s">
        <v>5</v>
      </c>
      <c r="B693" s="1" t="s">
        <v>113</v>
      </c>
      <c r="C693" s="1" t="s">
        <v>380</v>
      </c>
      <c r="D693" s="1">
        <v>79721</v>
      </c>
      <c r="E693" s="1">
        <v>10</v>
      </c>
    </row>
    <row r="694" spans="1:5" ht="14.25" customHeight="1" x14ac:dyDescent="0.25">
      <c r="A694" s="1" t="s">
        <v>40</v>
      </c>
      <c r="B694" s="1" t="s">
        <v>83</v>
      </c>
      <c r="C694" s="1" t="s">
        <v>381</v>
      </c>
      <c r="D694" s="1">
        <v>56002</v>
      </c>
      <c r="E694" s="1">
        <v>7</v>
      </c>
    </row>
    <row r="695" spans="1:5" ht="14.25" customHeight="1" x14ac:dyDescent="0.25">
      <c r="A695" s="1" t="s">
        <v>23</v>
      </c>
      <c r="B695" s="1" t="s">
        <v>94</v>
      </c>
      <c r="C695" s="1" t="s">
        <v>381</v>
      </c>
      <c r="D695" s="1">
        <v>80781</v>
      </c>
      <c r="E695" s="1">
        <v>9</v>
      </c>
    </row>
    <row r="696" spans="1:5" ht="14.25" customHeight="1" x14ac:dyDescent="0.25">
      <c r="A696" s="1" t="s">
        <v>10</v>
      </c>
      <c r="B696" s="1" t="s">
        <v>67</v>
      </c>
      <c r="C696" s="1" t="s">
        <v>381</v>
      </c>
      <c r="D696" s="1">
        <v>26111</v>
      </c>
      <c r="E696" s="1">
        <v>5</v>
      </c>
    </row>
    <row r="697" spans="1:5" ht="14.25" customHeight="1" x14ac:dyDescent="0.25">
      <c r="A697" s="1" t="s">
        <v>5</v>
      </c>
      <c r="B697" s="1" t="s">
        <v>292</v>
      </c>
      <c r="C697" s="1" t="s">
        <v>381</v>
      </c>
      <c r="D697" s="1">
        <v>75919</v>
      </c>
      <c r="E697" s="1">
        <v>9</v>
      </c>
    </row>
    <row r="698" spans="1:5" ht="14.25" customHeight="1" x14ac:dyDescent="0.25">
      <c r="A698" s="1" t="s">
        <v>27</v>
      </c>
      <c r="B698" s="1" t="s">
        <v>11</v>
      </c>
      <c r="C698" s="1" t="s">
        <v>381</v>
      </c>
      <c r="D698" s="1">
        <v>32553</v>
      </c>
      <c r="E698" s="1">
        <v>8</v>
      </c>
    </row>
    <row r="699" spans="1:5" ht="14.25" customHeight="1" x14ac:dyDescent="0.25">
      <c r="A699" s="1" t="s">
        <v>40</v>
      </c>
      <c r="B699" s="1" t="s">
        <v>133</v>
      </c>
      <c r="C699" s="1" t="s">
        <v>381</v>
      </c>
      <c r="D699" s="1">
        <v>94036</v>
      </c>
      <c r="E699" s="1">
        <v>10</v>
      </c>
    </row>
    <row r="700" spans="1:5" ht="14.25" customHeight="1" x14ac:dyDescent="0.25">
      <c r="A700" s="1" t="s">
        <v>8</v>
      </c>
      <c r="B700" s="1" t="s">
        <v>47</v>
      </c>
      <c r="C700" s="1" t="s">
        <v>382</v>
      </c>
      <c r="D700" s="1">
        <v>48416</v>
      </c>
      <c r="E700" s="1">
        <v>6</v>
      </c>
    </row>
    <row r="701" spans="1:5" ht="14.25" customHeight="1" x14ac:dyDescent="0.25">
      <c r="A701" s="1" t="s">
        <v>23</v>
      </c>
      <c r="B701" s="1" t="s">
        <v>36</v>
      </c>
      <c r="C701" s="1" t="s">
        <v>382</v>
      </c>
      <c r="D701" s="1">
        <v>19268</v>
      </c>
      <c r="E701" s="1">
        <v>7</v>
      </c>
    </row>
    <row r="702" spans="1:5" ht="14.25" customHeight="1" x14ac:dyDescent="0.25">
      <c r="A702" s="1" t="s">
        <v>13</v>
      </c>
      <c r="B702" s="1" t="s">
        <v>225</v>
      </c>
      <c r="C702" s="1" t="s">
        <v>383</v>
      </c>
      <c r="D702" s="1">
        <v>28466</v>
      </c>
      <c r="E702" s="1">
        <v>9</v>
      </c>
    </row>
    <row r="703" spans="1:5" ht="14.25" customHeight="1" x14ac:dyDescent="0.25">
      <c r="A703" s="1" t="s">
        <v>51</v>
      </c>
      <c r="B703" s="1" t="s">
        <v>117</v>
      </c>
      <c r="C703" s="1" t="s">
        <v>383</v>
      </c>
      <c r="D703" s="1">
        <v>51015</v>
      </c>
      <c r="E703" s="1">
        <v>9</v>
      </c>
    </row>
    <row r="704" spans="1:5" ht="14.25" customHeight="1" x14ac:dyDescent="0.25">
      <c r="A704" s="1" t="s">
        <v>66</v>
      </c>
      <c r="B704" s="1" t="s">
        <v>249</v>
      </c>
      <c r="C704" s="1" t="s">
        <v>383</v>
      </c>
      <c r="D704" s="1">
        <v>98165</v>
      </c>
      <c r="E704" s="1">
        <v>5</v>
      </c>
    </row>
    <row r="705" spans="1:5" ht="14.25" customHeight="1" x14ac:dyDescent="0.25">
      <c r="A705" s="1" t="s">
        <v>15</v>
      </c>
      <c r="B705" s="1" t="s">
        <v>105</v>
      </c>
      <c r="C705" s="1" t="s">
        <v>383</v>
      </c>
      <c r="D705" s="1">
        <v>63723</v>
      </c>
      <c r="E705" s="1">
        <v>9</v>
      </c>
    </row>
    <row r="706" spans="1:5" ht="14.25" customHeight="1" x14ac:dyDescent="0.25">
      <c r="A706" s="1" t="s">
        <v>23</v>
      </c>
      <c r="B706" s="1" t="s">
        <v>194</v>
      </c>
      <c r="C706" s="1" t="s">
        <v>383</v>
      </c>
      <c r="D706" s="1">
        <v>94924</v>
      </c>
      <c r="E706" s="1">
        <v>6</v>
      </c>
    </row>
    <row r="707" spans="1:5" ht="14.25" customHeight="1" x14ac:dyDescent="0.25">
      <c r="A707" s="1" t="s">
        <v>40</v>
      </c>
      <c r="B707" s="1" t="s">
        <v>384</v>
      </c>
      <c r="C707" s="1" t="s">
        <v>383</v>
      </c>
      <c r="D707" s="1">
        <v>95498</v>
      </c>
      <c r="E707" s="1">
        <v>0</v>
      </c>
    </row>
    <row r="708" spans="1:5" ht="14.25" customHeight="1" x14ac:dyDescent="0.25">
      <c r="A708" s="1" t="s">
        <v>10</v>
      </c>
      <c r="B708" s="1" t="s">
        <v>305</v>
      </c>
      <c r="C708" s="1" t="s">
        <v>383</v>
      </c>
      <c r="D708" s="1">
        <v>13492</v>
      </c>
      <c r="E708" s="1">
        <v>5</v>
      </c>
    </row>
    <row r="709" spans="1:5" ht="14.25" customHeight="1" x14ac:dyDescent="0.25">
      <c r="A709" s="1" t="s">
        <v>31</v>
      </c>
      <c r="B709" s="1" t="s">
        <v>176</v>
      </c>
      <c r="C709" s="1" t="s">
        <v>383</v>
      </c>
      <c r="D709" s="1">
        <v>61665</v>
      </c>
      <c r="E709" s="1">
        <v>5</v>
      </c>
    </row>
    <row r="710" spans="1:5" ht="14.25" customHeight="1" x14ac:dyDescent="0.25">
      <c r="A710" s="1" t="s">
        <v>27</v>
      </c>
      <c r="B710" s="1" t="s">
        <v>69</v>
      </c>
      <c r="C710" s="1" t="s">
        <v>383</v>
      </c>
      <c r="D710" s="1">
        <v>68973</v>
      </c>
      <c r="E710" s="1">
        <v>3</v>
      </c>
    </row>
    <row r="711" spans="1:5" ht="14.25" customHeight="1" x14ac:dyDescent="0.25">
      <c r="A711" s="1" t="s">
        <v>5</v>
      </c>
      <c r="B711" s="1" t="s">
        <v>54</v>
      </c>
      <c r="C711" s="1" t="s">
        <v>383</v>
      </c>
      <c r="D711" s="1">
        <v>76472</v>
      </c>
      <c r="E711" s="1">
        <v>6</v>
      </c>
    </row>
    <row r="712" spans="1:5" ht="14.25" customHeight="1" x14ac:dyDescent="0.25">
      <c r="A712" s="1" t="s">
        <v>13</v>
      </c>
      <c r="B712" s="1" t="s">
        <v>172</v>
      </c>
      <c r="C712" s="1" t="s">
        <v>383</v>
      </c>
      <c r="D712" s="1">
        <v>12273</v>
      </c>
      <c r="E712" s="1">
        <v>8</v>
      </c>
    </row>
    <row r="713" spans="1:5" ht="14.25" customHeight="1" x14ac:dyDescent="0.25">
      <c r="A713" s="1" t="s">
        <v>23</v>
      </c>
      <c r="B713" s="1" t="s">
        <v>99</v>
      </c>
      <c r="C713" s="1" t="s">
        <v>383</v>
      </c>
      <c r="D713" s="1">
        <v>81866</v>
      </c>
      <c r="E713" s="1">
        <v>2</v>
      </c>
    </row>
    <row r="714" spans="1:5" ht="14.25" customHeight="1" x14ac:dyDescent="0.25">
      <c r="A714" s="1" t="s">
        <v>27</v>
      </c>
      <c r="B714" s="1" t="s">
        <v>131</v>
      </c>
      <c r="C714" s="1" t="s">
        <v>383</v>
      </c>
      <c r="D714" s="1">
        <v>69120</v>
      </c>
      <c r="E714" s="1">
        <v>5</v>
      </c>
    </row>
    <row r="715" spans="1:5" ht="14.25" customHeight="1" x14ac:dyDescent="0.25">
      <c r="A715" s="1" t="s">
        <v>76</v>
      </c>
      <c r="B715" s="1" t="s">
        <v>210</v>
      </c>
      <c r="C715" s="1" t="s">
        <v>385</v>
      </c>
      <c r="D715" s="1">
        <v>89597</v>
      </c>
      <c r="E715" s="1">
        <v>7</v>
      </c>
    </row>
    <row r="716" spans="1:5" ht="14.25" customHeight="1" x14ac:dyDescent="0.25">
      <c r="A716" s="1" t="s">
        <v>10</v>
      </c>
      <c r="B716" s="1" t="s">
        <v>384</v>
      </c>
      <c r="C716" s="1" t="s">
        <v>385</v>
      </c>
      <c r="D716" s="1">
        <v>56154</v>
      </c>
      <c r="E716" s="1">
        <v>4</v>
      </c>
    </row>
    <row r="717" spans="1:5" ht="14.25" customHeight="1" x14ac:dyDescent="0.25">
      <c r="A717" s="1" t="s">
        <v>40</v>
      </c>
      <c r="B717" s="1" t="s">
        <v>33</v>
      </c>
      <c r="C717" s="1" t="s">
        <v>386</v>
      </c>
      <c r="D717" s="1">
        <v>72128</v>
      </c>
      <c r="E717" s="1">
        <v>9</v>
      </c>
    </row>
    <row r="718" spans="1:5" ht="14.25" customHeight="1" x14ac:dyDescent="0.25">
      <c r="A718" s="1" t="s">
        <v>10</v>
      </c>
      <c r="B718" s="1" t="s">
        <v>373</v>
      </c>
      <c r="C718" s="1" t="s">
        <v>386</v>
      </c>
      <c r="D718" s="1">
        <v>46887</v>
      </c>
      <c r="E718" s="1">
        <v>8</v>
      </c>
    </row>
    <row r="719" spans="1:5" ht="14.25" customHeight="1" x14ac:dyDescent="0.25">
      <c r="A719" s="1" t="s">
        <v>10</v>
      </c>
      <c r="B719" s="1" t="s">
        <v>270</v>
      </c>
      <c r="C719" s="1" t="s">
        <v>386</v>
      </c>
      <c r="D719" s="1">
        <v>11618</v>
      </c>
      <c r="E719" s="1">
        <v>8</v>
      </c>
    </row>
    <row r="720" spans="1:5" ht="14.25" customHeight="1" x14ac:dyDescent="0.25">
      <c r="A720" s="1" t="s">
        <v>40</v>
      </c>
      <c r="B720" s="1" t="s">
        <v>177</v>
      </c>
      <c r="C720" s="1" t="s">
        <v>386</v>
      </c>
      <c r="D720" s="1">
        <v>93698</v>
      </c>
      <c r="E720" s="1">
        <v>6</v>
      </c>
    </row>
    <row r="721" spans="1:5" ht="14.25" customHeight="1" x14ac:dyDescent="0.25">
      <c r="A721" s="1" t="s">
        <v>31</v>
      </c>
      <c r="B721" s="1" t="s">
        <v>268</v>
      </c>
      <c r="C721" s="1" t="s">
        <v>386</v>
      </c>
      <c r="D721" s="1">
        <v>10160</v>
      </c>
      <c r="E721" s="1">
        <v>8</v>
      </c>
    </row>
    <row r="722" spans="1:5" ht="14.25" customHeight="1" x14ac:dyDescent="0.25">
      <c r="A722" s="1" t="s">
        <v>13</v>
      </c>
      <c r="B722" s="1" t="s">
        <v>137</v>
      </c>
      <c r="C722" s="1" t="s">
        <v>387</v>
      </c>
      <c r="D722" s="1">
        <v>75693</v>
      </c>
      <c r="E722" s="1">
        <v>4</v>
      </c>
    </row>
    <row r="723" spans="1:5" ht="14.25" customHeight="1" x14ac:dyDescent="0.25">
      <c r="A723" s="1" t="s">
        <v>31</v>
      </c>
      <c r="B723" s="1" t="s">
        <v>88</v>
      </c>
      <c r="C723" s="1" t="s">
        <v>387</v>
      </c>
      <c r="D723" s="1">
        <v>75968</v>
      </c>
      <c r="E723" s="1">
        <v>4</v>
      </c>
    </row>
    <row r="724" spans="1:5" ht="14.25" customHeight="1" x14ac:dyDescent="0.25">
      <c r="A724" s="1" t="s">
        <v>8</v>
      </c>
      <c r="B724" s="1" t="s">
        <v>121</v>
      </c>
      <c r="C724" s="1" t="s">
        <v>387</v>
      </c>
      <c r="D724" s="1">
        <v>30646</v>
      </c>
      <c r="E724" s="1">
        <v>7</v>
      </c>
    </row>
    <row r="725" spans="1:5" ht="14.25" customHeight="1" x14ac:dyDescent="0.25">
      <c r="A725" s="1" t="s">
        <v>40</v>
      </c>
      <c r="B725" s="1" t="s">
        <v>213</v>
      </c>
      <c r="C725" s="1" t="s">
        <v>387</v>
      </c>
      <c r="D725" s="1">
        <v>35737</v>
      </c>
      <c r="E725" s="1">
        <v>4</v>
      </c>
    </row>
    <row r="726" spans="1:5" ht="14.25" customHeight="1" x14ac:dyDescent="0.25">
      <c r="A726" s="1" t="s">
        <v>23</v>
      </c>
      <c r="B726" s="1" t="s">
        <v>278</v>
      </c>
      <c r="C726" s="1" t="s">
        <v>387</v>
      </c>
      <c r="D726" s="1">
        <v>77737</v>
      </c>
      <c r="E726" s="1">
        <v>10</v>
      </c>
    </row>
    <row r="727" spans="1:5" ht="14.25" customHeight="1" x14ac:dyDescent="0.25">
      <c r="A727" s="1" t="s">
        <v>15</v>
      </c>
      <c r="B727" s="1" t="s">
        <v>35</v>
      </c>
      <c r="C727" s="1" t="s">
        <v>388</v>
      </c>
      <c r="D727" s="1">
        <v>60046</v>
      </c>
      <c r="E727" s="1">
        <v>8</v>
      </c>
    </row>
    <row r="728" spans="1:5" ht="14.25" customHeight="1" x14ac:dyDescent="0.25">
      <c r="A728" s="1" t="s">
        <v>8</v>
      </c>
      <c r="B728" s="1" t="s">
        <v>234</v>
      </c>
      <c r="C728" s="1" t="s">
        <v>389</v>
      </c>
      <c r="D728" s="1">
        <v>45899</v>
      </c>
      <c r="E728" s="1">
        <v>6</v>
      </c>
    </row>
    <row r="729" spans="1:5" ht="14.25" customHeight="1" x14ac:dyDescent="0.25">
      <c r="A729" s="1" t="s">
        <v>8</v>
      </c>
      <c r="B729" s="1" t="s">
        <v>88</v>
      </c>
      <c r="C729" s="1" t="s">
        <v>389</v>
      </c>
      <c r="D729" s="1">
        <v>62238</v>
      </c>
      <c r="E729" s="1">
        <v>8</v>
      </c>
    </row>
    <row r="730" spans="1:5" ht="14.25" customHeight="1" x14ac:dyDescent="0.25">
      <c r="A730" s="1" t="s">
        <v>51</v>
      </c>
      <c r="B730" s="1" t="s">
        <v>253</v>
      </c>
      <c r="C730" s="1" t="s">
        <v>389</v>
      </c>
      <c r="D730" s="1">
        <v>95442</v>
      </c>
      <c r="E730" s="1">
        <v>9</v>
      </c>
    </row>
    <row r="731" spans="1:5" ht="14.25" customHeight="1" x14ac:dyDescent="0.25">
      <c r="A731" s="1" t="s">
        <v>40</v>
      </c>
      <c r="B731" s="1" t="s">
        <v>124</v>
      </c>
      <c r="C731" s="1" t="s">
        <v>389</v>
      </c>
      <c r="D731" s="1">
        <v>89549</v>
      </c>
      <c r="E731" s="1">
        <v>1</v>
      </c>
    </row>
    <row r="732" spans="1:5" ht="14.25" customHeight="1" x14ac:dyDescent="0.25">
      <c r="A732" s="1" t="s">
        <v>23</v>
      </c>
      <c r="B732" s="1" t="s">
        <v>148</v>
      </c>
      <c r="C732" s="1" t="s">
        <v>389</v>
      </c>
      <c r="D732" s="1">
        <v>85712</v>
      </c>
      <c r="E732" s="1">
        <v>8</v>
      </c>
    </row>
    <row r="733" spans="1:5" ht="14.25" customHeight="1" x14ac:dyDescent="0.25">
      <c r="A733" s="1" t="s">
        <v>13</v>
      </c>
      <c r="B733" s="1" t="s">
        <v>96</v>
      </c>
      <c r="C733" s="1" t="s">
        <v>389</v>
      </c>
      <c r="D733" s="1">
        <v>68478</v>
      </c>
      <c r="E733" s="1">
        <v>5</v>
      </c>
    </row>
    <row r="734" spans="1:5" ht="14.25" customHeight="1" x14ac:dyDescent="0.25">
      <c r="A734" s="1" t="s">
        <v>31</v>
      </c>
      <c r="B734" s="1" t="s">
        <v>105</v>
      </c>
      <c r="C734" s="1" t="s">
        <v>389</v>
      </c>
      <c r="D734" s="1">
        <v>69910</v>
      </c>
      <c r="E734" s="1">
        <v>9</v>
      </c>
    </row>
    <row r="735" spans="1:5" ht="14.25" customHeight="1" x14ac:dyDescent="0.25">
      <c r="A735" s="1" t="s">
        <v>66</v>
      </c>
      <c r="B735" s="1" t="s">
        <v>181</v>
      </c>
      <c r="C735" s="1" t="s">
        <v>389</v>
      </c>
      <c r="D735" s="1">
        <v>57950</v>
      </c>
      <c r="E735" s="1">
        <v>9</v>
      </c>
    </row>
    <row r="736" spans="1:5" ht="14.25" customHeight="1" x14ac:dyDescent="0.25">
      <c r="A736" s="1" t="s">
        <v>51</v>
      </c>
      <c r="B736" s="1" t="s">
        <v>110</v>
      </c>
      <c r="C736" s="1" t="s">
        <v>389</v>
      </c>
      <c r="D736" s="1">
        <v>59086</v>
      </c>
      <c r="E736" s="1">
        <v>7</v>
      </c>
    </row>
    <row r="737" spans="1:5" ht="14.25" customHeight="1" x14ac:dyDescent="0.25">
      <c r="A737" s="1" t="s">
        <v>15</v>
      </c>
      <c r="B737" s="1" t="s">
        <v>142</v>
      </c>
      <c r="C737" s="1" t="s">
        <v>389</v>
      </c>
      <c r="D737" s="1">
        <v>98099</v>
      </c>
      <c r="E737" s="1">
        <v>5</v>
      </c>
    </row>
    <row r="738" spans="1:5" ht="14.25" customHeight="1" x14ac:dyDescent="0.25">
      <c r="A738" s="1" t="s">
        <v>15</v>
      </c>
      <c r="B738" s="1" t="s">
        <v>47</v>
      </c>
      <c r="C738" s="1" t="s">
        <v>390</v>
      </c>
      <c r="D738" s="1">
        <v>73288</v>
      </c>
      <c r="E738" s="1">
        <v>2</v>
      </c>
    </row>
    <row r="739" spans="1:5" ht="14.25" customHeight="1" x14ac:dyDescent="0.25">
      <c r="A739" s="1" t="s">
        <v>76</v>
      </c>
      <c r="B739" s="1" t="s">
        <v>144</v>
      </c>
      <c r="C739" s="1" t="s">
        <v>390</v>
      </c>
      <c r="D739" s="1">
        <v>87383</v>
      </c>
      <c r="E739" s="1">
        <v>7</v>
      </c>
    </row>
    <row r="740" spans="1:5" ht="14.25" customHeight="1" x14ac:dyDescent="0.25">
      <c r="A740" s="1" t="s">
        <v>13</v>
      </c>
      <c r="B740" s="1" t="s">
        <v>32</v>
      </c>
      <c r="C740" s="1" t="s">
        <v>390</v>
      </c>
      <c r="D740" s="1">
        <v>83719</v>
      </c>
      <c r="E740" s="1">
        <v>8</v>
      </c>
    </row>
    <row r="741" spans="1:5" ht="14.25" customHeight="1" x14ac:dyDescent="0.25">
      <c r="A741" s="1" t="s">
        <v>76</v>
      </c>
      <c r="B741" s="1" t="s">
        <v>86</v>
      </c>
      <c r="C741" s="1" t="s">
        <v>390</v>
      </c>
      <c r="D741" s="1">
        <v>42030</v>
      </c>
      <c r="E741" s="1">
        <v>9</v>
      </c>
    </row>
    <row r="742" spans="1:5" ht="14.25" customHeight="1" x14ac:dyDescent="0.25">
      <c r="A742" s="1" t="s">
        <v>5</v>
      </c>
      <c r="B742" s="1" t="s">
        <v>318</v>
      </c>
      <c r="C742" s="1" t="s">
        <v>391</v>
      </c>
      <c r="D742" s="1">
        <v>80141</v>
      </c>
      <c r="E742" s="1">
        <v>8</v>
      </c>
    </row>
    <row r="743" spans="1:5" ht="14.25" customHeight="1" x14ac:dyDescent="0.25">
      <c r="A743" s="1" t="s">
        <v>8</v>
      </c>
      <c r="B743" s="1" t="s">
        <v>45</v>
      </c>
      <c r="C743" s="1" t="s">
        <v>391</v>
      </c>
      <c r="D743" s="1">
        <v>44834</v>
      </c>
      <c r="E743" s="1">
        <v>6</v>
      </c>
    </row>
    <row r="744" spans="1:5" ht="14.25" customHeight="1" x14ac:dyDescent="0.25">
      <c r="A744" s="1" t="s">
        <v>15</v>
      </c>
      <c r="B744" s="1" t="s">
        <v>266</v>
      </c>
      <c r="C744" s="1" t="s">
        <v>391</v>
      </c>
      <c r="D744" s="1">
        <v>76345</v>
      </c>
      <c r="E744" s="1">
        <v>3</v>
      </c>
    </row>
    <row r="745" spans="1:5" ht="14.25" customHeight="1" x14ac:dyDescent="0.25">
      <c r="A745" s="1" t="s">
        <v>66</v>
      </c>
      <c r="B745" s="1" t="s">
        <v>137</v>
      </c>
      <c r="C745" s="1" t="s">
        <v>391</v>
      </c>
      <c r="D745" s="1">
        <v>62938</v>
      </c>
      <c r="E745" s="1">
        <v>6</v>
      </c>
    </row>
    <row r="746" spans="1:5" ht="14.25" customHeight="1" x14ac:dyDescent="0.25">
      <c r="A746" s="1" t="s">
        <v>66</v>
      </c>
      <c r="B746" s="1" t="s">
        <v>255</v>
      </c>
      <c r="C746" s="1" t="s">
        <v>391</v>
      </c>
      <c r="D746" s="1">
        <v>78011</v>
      </c>
      <c r="E746" s="1">
        <v>7</v>
      </c>
    </row>
    <row r="747" spans="1:5" ht="14.25" customHeight="1" x14ac:dyDescent="0.25">
      <c r="A747" s="1" t="s">
        <v>76</v>
      </c>
      <c r="B747" s="1" t="s">
        <v>58</v>
      </c>
      <c r="C747" s="1" t="s">
        <v>392</v>
      </c>
      <c r="D747" s="1">
        <v>99531</v>
      </c>
      <c r="E747" s="1">
        <v>4</v>
      </c>
    </row>
    <row r="748" spans="1:5" ht="14.25" customHeight="1" x14ac:dyDescent="0.25">
      <c r="A748" s="1" t="s">
        <v>66</v>
      </c>
      <c r="B748" s="1" t="s">
        <v>115</v>
      </c>
      <c r="C748" s="1" t="s">
        <v>392</v>
      </c>
      <c r="D748" s="1">
        <v>46263</v>
      </c>
      <c r="E748" s="1">
        <v>7</v>
      </c>
    </row>
    <row r="749" spans="1:5" ht="14.25" customHeight="1" x14ac:dyDescent="0.25">
      <c r="A749" s="1" t="s">
        <v>31</v>
      </c>
      <c r="B749" s="1" t="s">
        <v>225</v>
      </c>
      <c r="C749" s="1" t="s">
        <v>392</v>
      </c>
      <c r="D749" s="1">
        <v>26065</v>
      </c>
      <c r="E749" s="1">
        <v>7</v>
      </c>
    </row>
    <row r="750" spans="1:5" ht="14.25" customHeight="1" x14ac:dyDescent="0.25">
      <c r="A750" s="1" t="s">
        <v>31</v>
      </c>
      <c r="B750" s="1" t="s">
        <v>155</v>
      </c>
      <c r="C750" s="1" t="s">
        <v>393</v>
      </c>
      <c r="D750" s="1">
        <v>75474</v>
      </c>
      <c r="E750" s="1">
        <v>7</v>
      </c>
    </row>
    <row r="751" spans="1:5" ht="14.25" customHeight="1" x14ac:dyDescent="0.25">
      <c r="A751" s="1" t="s">
        <v>76</v>
      </c>
      <c r="B751" s="1" t="s">
        <v>70</v>
      </c>
      <c r="C751" s="1" t="s">
        <v>393</v>
      </c>
      <c r="D751" s="1">
        <v>83301</v>
      </c>
      <c r="E751" s="1">
        <v>5</v>
      </c>
    </row>
    <row r="752" spans="1:5" ht="14.25" customHeight="1" x14ac:dyDescent="0.25">
      <c r="A752" s="1" t="s">
        <v>8</v>
      </c>
      <c r="B752" s="1" t="s">
        <v>144</v>
      </c>
      <c r="C752" s="1" t="s">
        <v>393</v>
      </c>
      <c r="D752" s="1">
        <v>64204</v>
      </c>
      <c r="E752" s="1">
        <v>3</v>
      </c>
    </row>
    <row r="753" spans="1:5" ht="14.25" customHeight="1" x14ac:dyDescent="0.25">
      <c r="A753" s="1" t="s">
        <v>66</v>
      </c>
      <c r="B753" s="1" t="s">
        <v>44</v>
      </c>
      <c r="C753" s="1" t="s">
        <v>394</v>
      </c>
      <c r="D753" s="1">
        <v>48250</v>
      </c>
      <c r="E753" s="1">
        <v>2</v>
      </c>
    </row>
    <row r="754" spans="1:5" ht="14.25" customHeight="1" x14ac:dyDescent="0.25">
      <c r="A754" s="1" t="s">
        <v>27</v>
      </c>
      <c r="B754" s="1" t="s">
        <v>173</v>
      </c>
      <c r="C754" s="1" t="s">
        <v>394</v>
      </c>
      <c r="D754" s="1">
        <v>17108</v>
      </c>
      <c r="E754" s="1">
        <v>8</v>
      </c>
    </row>
    <row r="755" spans="1:5" ht="14.25" customHeight="1" x14ac:dyDescent="0.25">
      <c r="A755" s="1" t="s">
        <v>13</v>
      </c>
      <c r="B755" s="1" t="s">
        <v>251</v>
      </c>
      <c r="C755" s="1" t="s">
        <v>394</v>
      </c>
      <c r="D755" s="1">
        <v>18435</v>
      </c>
      <c r="E755" s="1">
        <v>10</v>
      </c>
    </row>
    <row r="756" spans="1:5" ht="14.25" customHeight="1" x14ac:dyDescent="0.25">
      <c r="A756" s="1" t="s">
        <v>10</v>
      </c>
      <c r="B756" s="1" t="s">
        <v>139</v>
      </c>
      <c r="C756" s="1" t="s">
        <v>394</v>
      </c>
      <c r="D756" s="1">
        <v>46287</v>
      </c>
      <c r="E756" s="1">
        <v>8</v>
      </c>
    </row>
    <row r="757" spans="1:5" ht="14.25" customHeight="1" x14ac:dyDescent="0.25">
      <c r="A757" s="1" t="s">
        <v>15</v>
      </c>
      <c r="B757" s="1" t="s">
        <v>256</v>
      </c>
      <c r="C757" s="1" t="s">
        <v>394</v>
      </c>
      <c r="D757" s="1">
        <v>51830</v>
      </c>
      <c r="E757" s="1">
        <v>8</v>
      </c>
    </row>
    <row r="758" spans="1:5" ht="14.25" customHeight="1" x14ac:dyDescent="0.25">
      <c r="A758" s="1" t="s">
        <v>23</v>
      </c>
      <c r="B758" s="1" t="s">
        <v>96</v>
      </c>
      <c r="C758" s="1" t="s">
        <v>394</v>
      </c>
      <c r="D758" s="1">
        <v>90785</v>
      </c>
      <c r="E758" s="1">
        <v>7</v>
      </c>
    </row>
    <row r="759" spans="1:5" ht="14.25" customHeight="1" x14ac:dyDescent="0.25">
      <c r="A759" s="1" t="s">
        <v>51</v>
      </c>
      <c r="B759" s="1" t="s">
        <v>242</v>
      </c>
      <c r="C759" s="1" t="s">
        <v>394</v>
      </c>
      <c r="D759" s="1">
        <v>63454</v>
      </c>
      <c r="E759" s="1">
        <v>7</v>
      </c>
    </row>
    <row r="760" spans="1:5" ht="14.25" customHeight="1" x14ac:dyDescent="0.25">
      <c r="A760" s="1" t="s">
        <v>15</v>
      </c>
      <c r="B760" s="1" t="s">
        <v>102</v>
      </c>
      <c r="C760" s="1" t="s">
        <v>394</v>
      </c>
      <c r="D760" s="1">
        <v>51645</v>
      </c>
      <c r="E760" s="1">
        <v>8</v>
      </c>
    </row>
    <row r="761" spans="1:5" ht="14.25" customHeight="1" x14ac:dyDescent="0.25">
      <c r="A761" s="1" t="s">
        <v>51</v>
      </c>
      <c r="B761" s="1" t="s">
        <v>252</v>
      </c>
      <c r="C761" s="1" t="s">
        <v>395</v>
      </c>
      <c r="D761" s="1">
        <v>18448</v>
      </c>
      <c r="E761" s="1">
        <v>3</v>
      </c>
    </row>
    <row r="762" spans="1:5" ht="14.25" customHeight="1" x14ac:dyDescent="0.25">
      <c r="A762" s="1" t="s">
        <v>5</v>
      </c>
      <c r="B762" s="1" t="s">
        <v>105</v>
      </c>
      <c r="C762" s="1" t="s">
        <v>396</v>
      </c>
      <c r="D762" s="1">
        <v>77756</v>
      </c>
      <c r="E762" s="1">
        <v>4</v>
      </c>
    </row>
    <row r="763" spans="1:5" ht="14.25" customHeight="1" x14ac:dyDescent="0.25">
      <c r="A763" s="1" t="s">
        <v>76</v>
      </c>
      <c r="B763" s="1" t="s">
        <v>99</v>
      </c>
      <c r="C763" s="1" t="s">
        <v>396</v>
      </c>
      <c r="D763" s="1">
        <v>45079</v>
      </c>
      <c r="E763" s="1">
        <v>8</v>
      </c>
    </row>
    <row r="764" spans="1:5" ht="14.25" customHeight="1" x14ac:dyDescent="0.25">
      <c r="A764" s="1" t="s">
        <v>51</v>
      </c>
      <c r="B764" s="1" t="s">
        <v>327</v>
      </c>
      <c r="C764" s="1" t="s">
        <v>396</v>
      </c>
      <c r="D764" s="1">
        <v>75985</v>
      </c>
      <c r="E764" s="1">
        <v>10</v>
      </c>
    </row>
    <row r="765" spans="1:5" ht="14.25" customHeight="1" x14ac:dyDescent="0.25">
      <c r="A765" s="1" t="s">
        <v>13</v>
      </c>
      <c r="B765" s="1" t="s">
        <v>181</v>
      </c>
      <c r="C765" s="1" t="s">
        <v>396</v>
      </c>
      <c r="D765" s="1">
        <v>28430</v>
      </c>
      <c r="E765" s="1">
        <v>7</v>
      </c>
    </row>
    <row r="766" spans="1:5" ht="14.25" customHeight="1" x14ac:dyDescent="0.25">
      <c r="A766" s="1" t="s">
        <v>31</v>
      </c>
      <c r="B766" s="1" t="s">
        <v>124</v>
      </c>
      <c r="C766" s="1" t="s">
        <v>396</v>
      </c>
      <c r="D766" s="1">
        <v>17834</v>
      </c>
      <c r="E766" s="1">
        <v>6</v>
      </c>
    </row>
    <row r="767" spans="1:5" ht="14.25" customHeight="1" x14ac:dyDescent="0.25">
      <c r="A767" s="1" t="s">
        <v>66</v>
      </c>
      <c r="B767" s="1" t="s">
        <v>144</v>
      </c>
      <c r="C767" s="1" t="s">
        <v>397</v>
      </c>
      <c r="D767" s="1">
        <v>10964</v>
      </c>
      <c r="E767" s="1">
        <v>9</v>
      </c>
    </row>
    <row r="768" spans="1:5" ht="14.25" customHeight="1" x14ac:dyDescent="0.25">
      <c r="A768" s="1" t="s">
        <v>40</v>
      </c>
      <c r="B768" s="1" t="s">
        <v>110</v>
      </c>
      <c r="C768" s="1" t="s">
        <v>397</v>
      </c>
      <c r="D768" s="1">
        <v>55583</v>
      </c>
      <c r="E768" s="1">
        <v>6</v>
      </c>
    </row>
    <row r="769" spans="1:5" ht="14.25" customHeight="1" x14ac:dyDescent="0.25">
      <c r="A769" s="1" t="s">
        <v>66</v>
      </c>
      <c r="B769" s="1" t="s">
        <v>47</v>
      </c>
      <c r="C769" s="1" t="s">
        <v>398</v>
      </c>
      <c r="D769" s="1">
        <v>76684</v>
      </c>
      <c r="E769" s="1">
        <v>8</v>
      </c>
    </row>
    <row r="770" spans="1:5" ht="14.25" customHeight="1" x14ac:dyDescent="0.25">
      <c r="A770" s="1" t="s">
        <v>31</v>
      </c>
      <c r="B770" s="1" t="s">
        <v>191</v>
      </c>
      <c r="C770" s="1" t="s">
        <v>398</v>
      </c>
      <c r="D770" s="1">
        <v>98046</v>
      </c>
      <c r="E770" s="1">
        <v>6</v>
      </c>
    </row>
    <row r="771" spans="1:5" ht="14.25" customHeight="1" x14ac:dyDescent="0.25">
      <c r="A771" s="1" t="s">
        <v>76</v>
      </c>
      <c r="B771" s="1" t="s">
        <v>143</v>
      </c>
      <c r="C771" s="1" t="s">
        <v>398</v>
      </c>
      <c r="D771" s="1">
        <v>82668</v>
      </c>
      <c r="E771" s="1">
        <v>10</v>
      </c>
    </row>
    <row r="772" spans="1:5" ht="14.25" customHeight="1" x14ac:dyDescent="0.25">
      <c r="A772" s="1" t="s">
        <v>76</v>
      </c>
      <c r="B772" s="1" t="s">
        <v>232</v>
      </c>
      <c r="C772" s="1" t="s">
        <v>398</v>
      </c>
      <c r="D772" s="1">
        <v>43552</v>
      </c>
      <c r="E772" s="1">
        <v>8</v>
      </c>
    </row>
    <row r="773" spans="1:5" ht="14.25" customHeight="1" x14ac:dyDescent="0.25">
      <c r="A773" s="1" t="s">
        <v>15</v>
      </c>
      <c r="B773" s="1" t="s">
        <v>37</v>
      </c>
      <c r="C773" s="1" t="s">
        <v>398</v>
      </c>
      <c r="D773" s="1">
        <v>53465</v>
      </c>
      <c r="E773" s="1">
        <v>7</v>
      </c>
    </row>
    <row r="774" spans="1:5" ht="14.25" customHeight="1" x14ac:dyDescent="0.25">
      <c r="A774" s="1" t="s">
        <v>51</v>
      </c>
      <c r="B774" s="1" t="s">
        <v>200</v>
      </c>
      <c r="C774" s="1" t="s">
        <v>398</v>
      </c>
      <c r="D774" s="1">
        <v>63813</v>
      </c>
      <c r="E774" s="1">
        <v>7</v>
      </c>
    </row>
    <row r="775" spans="1:5" ht="14.25" customHeight="1" x14ac:dyDescent="0.25">
      <c r="A775" s="1" t="s">
        <v>51</v>
      </c>
      <c r="B775" s="1" t="s">
        <v>373</v>
      </c>
      <c r="C775" s="1" t="s">
        <v>399</v>
      </c>
      <c r="D775" s="1">
        <v>30300</v>
      </c>
      <c r="E775" s="1">
        <v>7</v>
      </c>
    </row>
    <row r="776" spans="1:5" ht="14.25" customHeight="1" x14ac:dyDescent="0.25">
      <c r="A776" s="1" t="s">
        <v>10</v>
      </c>
      <c r="B776" s="1" t="s">
        <v>134</v>
      </c>
      <c r="C776" s="1" t="s">
        <v>399</v>
      </c>
      <c r="D776" s="1">
        <v>15078</v>
      </c>
      <c r="E776" s="1">
        <v>6</v>
      </c>
    </row>
    <row r="777" spans="1:5" ht="14.25" customHeight="1" x14ac:dyDescent="0.25">
      <c r="A777" s="1" t="s">
        <v>66</v>
      </c>
      <c r="B777" s="1" t="s">
        <v>213</v>
      </c>
      <c r="C777" s="1" t="s">
        <v>399</v>
      </c>
      <c r="D777" s="1">
        <v>86489</v>
      </c>
      <c r="E777" s="1">
        <v>8</v>
      </c>
    </row>
    <row r="778" spans="1:5" ht="14.25" customHeight="1" x14ac:dyDescent="0.25">
      <c r="A778" s="1" t="s">
        <v>27</v>
      </c>
      <c r="B778" s="1" t="s">
        <v>16</v>
      </c>
      <c r="C778" s="1" t="s">
        <v>399</v>
      </c>
      <c r="D778" s="1">
        <v>49519</v>
      </c>
      <c r="E778" s="1">
        <v>9</v>
      </c>
    </row>
    <row r="779" spans="1:5" ht="14.25" customHeight="1" x14ac:dyDescent="0.25">
      <c r="A779" s="1" t="s">
        <v>27</v>
      </c>
      <c r="B779" s="1" t="s">
        <v>216</v>
      </c>
      <c r="C779" s="1" t="s">
        <v>399</v>
      </c>
      <c r="D779" s="1">
        <v>51511</v>
      </c>
      <c r="E779" s="1">
        <v>3</v>
      </c>
    </row>
    <row r="780" spans="1:5" ht="14.25" customHeight="1" x14ac:dyDescent="0.25">
      <c r="A780" s="1" t="s">
        <v>8</v>
      </c>
      <c r="B780" s="1" t="s">
        <v>299</v>
      </c>
      <c r="C780" s="1" t="s">
        <v>399</v>
      </c>
      <c r="D780" s="1">
        <v>25794</v>
      </c>
      <c r="E780" s="1">
        <v>9</v>
      </c>
    </row>
    <row r="781" spans="1:5" ht="14.25" customHeight="1" x14ac:dyDescent="0.25">
      <c r="A781" s="1" t="s">
        <v>27</v>
      </c>
      <c r="B781" s="1" t="s">
        <v>262</v>
      </c>
      <c r="C781" s="1" t="s">
        <v>399</v>
      </c>
      <c r="D781" s="1">
        <v>96301</v>
      </c>
      <c r="E781" s="1">
        <v>7</v>
      </c>
    </row>
    <row r="782" spans="1:5" ht="14.25" customHeight="1" x14ac:dyDescent="0.25">
      <c r="A782" s="1" t="s">
        <v>15</v>
      </c>
      <c r="B782" s="1" t="s">
        <v>301</v>
      </c>
      <c r="C782" s="1" t="s">
        <v>400</v>
      </c>
      <c r="D782" s="1">
        <v>86574</v>
      </c>
      <c r="E782" s="1">
        <v>6</v>
      </c>
    </row>
    <row r="783" spans="1:5" ht="14.25" customHeight="1" x14ac:dyDescent="0.25">
      <c r="A783" s="1" t="s">
        <v>10</v>
      </c>
      <c r="B783" s="1" t="s">
        <v>196</v>
      </c>
      <c r="C783" s="1" t="s">
        <v>401</v>
      </c>
      <c r="D783" s="1">
        <v>68652</v>
      </c>
      <c r="E783" s="1">
        <v>6</v>
      </c>
    </row>
    <row r="784" spans="1:5" ht="14.25" customHeight="1" x14ac:dyDescent="0.25">
      <c r="A784" s="1" t="s">
        <v>23</v>
      </c>
      <c r="B784" s="1" t="s">
        <v>157</v>
      </c>
      <c r="C784" s="1" t="s">
        <v>401</v>
      </c>
      <c r="D784" s="1">
        <v>16294</v>
      </c>
      <c r="E784" s="1">
        <v>9</v>
      </c>
    </row>
    <row r="785" spans="1:5" ht="14.25" customHeight="1" x14ac:dyDescent="0.25">
      <c r="A785" s="1" t="s">
        <v>13</v>
      </c>
      <c r="B785" s="1" t="s">
        <v>215</v>
      </c>
      <c r="C785" s="1" t="s">
        <v>402</v>
      </c>
      <c r="D785" s="1">
        <v>91313</v>
      </c>
      <c r="E785" s="1">
        <v>7</v>
      </c>
    </row>
    <row r="786" spans="1:5" ht="14.25" customHeight="1" x14ac:dyDescent="0.25">
      <c r="A786" s="1" t="s">
        <v>40</v>
      </c>
      <c r="B786" s="1" t="s">
        <v>194</v>
      </c>
      <c r="C786" s="1" t="s">
        <v>402</v>
      </c>
      <c r="D786" s="1">
        <v>55800</v>
      </c>
      <c r="E786" s="1">
        <v>7</v>
      </c>
    </row>
    <row r="787" spans="1:5" ht="14.25" customHeight="1" x14ac:dyDescent="0.25">
      <c r="A787" s="1" t="s">
        <v>15</v>
      </c>
      <c r="B787" s="1" t="s">
        <v>144</v>
      </c>
      <c r="C787" s="1" t="s">
        <v>402</v>
      </c>
      <c r="D787" s="1">
        <v>21858</v>
      </c>
      <c r="E787" s="1">
        <v>9</v>
      </c>
    </row>
    <row r="788" spans="1:5" ht="14.25" customHeight="1" x14ac:dyDescent="0.25">
      <c r="A788" s="1" t="s">
        <v>51</v>
      </c>
      <c r="B788" s="1" t="s">
        <v>88</v>
      </c>
      <c r="C788" s="1" t="s">
        <v>403</v>
      </c>
      <c r="D788" s="1">
        <v>22588</v>
      </c>
      <c r="E788" s="1">
        <v>8</v>
      </c>
    </row>
    <row r="789" spans="1:5" ht="14.25" customHeight="1" x14ac:dyDescent="0.25">
      <c r="A789" s="1" t="s">
        <v>66</v>
      </c>
      <c r="B789" s="1" t="s">
        <v>305</v>
      </c>
      <c r="C789" s="1" t="s">
        <v>403</v>
      </c>
      <c r="D789" s="1">
        <v>39019</v>
      </c>
      <c r="E789" s="1">
        <v>8</v>
      </c>
    </row>
    <row r="790" spans="1:5" ht="14.25" customHeight="1" x14ac:dyDescent="0.25">
      <c r="A790" s="1" t="s">
        <v>76</v>
      </c>
      <c r="B790" s="1" t="s">
        <v>288</v>
      </c>
      <c r="C790" s="1" t="s">
        <v>403</v>
      </c>
      <c r="D790" s="1">
        <v>38354</v>
      </c>
      <c r="E790" s="1">
        <v>4</v>
      </c>
    </row>
    <row r="791" spans="1:5" ht="14.25" customHeight="1" x14ac:dyDescent="0.25">
      <c r="A791" s="1" t="s">
        <v>31</v>
      </c>
      <c r="B791" s="1" t="s">
        <v>179</v>
      </c>
      <c r="C791" s="1" t="s">
        <v>403</v>
      </c>
      <c r="D791" s="1">
        <v>41186</v>
      </c>
      <c r="E791" s="1">
        <v>6</v>
      </c>
    </row>
    <row r="792" spans="1:5" ht="14.25" customHeight="1" x14ac:dyDescent="0.25">
      <c r="A792" s="1" t="s">
        <v>15</v>
      </c>
      <c r="B792" s="1" t="s">
        <v>163</v>
      </c>
      <c r="C792" s="1" t="s">
        <v>404</v>
      </c>
      <c r="D792" s="1">
        <v>36449</v>
      </c>
      <c r="E792" s="1">
        <v>2</v>
      </c>
    </row>
    <row r="793" spans="1:5" ht="14.25" customHeight="1" x14ac:dyDescent="0.25">
      <c r="A793" s="1" t="s">
        <v>13</v>
      </c>
      <c r="B793" s="1" t="s">
        <v>123</v>
      </c>
      <c r="C793" s="1" t="s">
        <v>404</v>
      </c>
      <c r="D793" s="1">
        <v>32829</v>
      </c>
      <c r="E793" s="1">
        <v>8</v>
      </c>
    </row>
    <row r="794" spans="1:5" ht="14.25" customHeight="1" x14ac:dyDescent="0.25">
      <c r="A794" s="1" t="s">
        <v>31</v>
      </c>
      <c r="B794" s="1" t="s">
        <v>117</v>
      </c>
      <c r="C794" s="1" t="s">
        <v>405</v>
      </c>
      <c r="D794" s="1">
        <v>34555</v>
      </c>
      <c r="E794" s="1">
        <v>8</v>
      </c>
    </row>
    <row r="795" spans="1:5" ht="14.25" customHeight="1" x14ac:dyDescent="0.25">
      <c r="A795" s="1" t="s">
        <v>10</v>
      </c>
      <c r="B795" s="1" t="s">
        <v>202</v>
      </c>
      <c r="C795" s="1" t="s">
        <v>406</v>
      </c>
      <c r="D795" s="1">
        <v>14415</v>
      </c>
      <c r="E795" s="1">
        <v>6</v>
      </c>
    </row>
    <row r="796" spans="1:5" ht="14.25" customHeight="1" x14ac:dyDescent="0.25">
      <c r="A796" s="1" t="s">
        <v>10</v>
      </c>
      <c r="B796" s="1" t="s">
        <v>187</v>
      </c>
      <c r="C796" s="1" t="s">
        <v>406</v>
      </c>
      <c r="D796" s="1">
        <v>31785</v>
      </c>
      <c r="E796" s="1">
        <v>6</v>
      </c>
    </row>
    <row r="797" spans="1:5" ht="14.25" customHeight="1" x14ac:dyDescent="0.25">
      <c r="A797" s="1" t="s">
        <v>10</v>
      </c>
      <c r="B797" s="1" t="s">
        <v>266</v>
      </c>
      <c r="C797" s="1" t="s">
        <v>406</v>
      </c>
      <c r="D797" s="1">
        <v>15293</v>
      </c>
      <c r="E797" s="1">
        <v>1</v>
      </c>
    </row>
    <row r="798" spans="1:5" ht="14.25" customHeight="1" x14ac:dyDescent="0.25">
      <c r="A798" s="1" t="s">
        <v>8</v>
      </c>
      <c r="B798" s="1" t="s">
        <v>25</v>
      </c>
      <c r="C798" s="1" t="s">
        <v>406</v>
      </c>
      <c r="D798" s="1">
        <v>16275</v>
      </c>
      <c r="E798" s="1">
        <v>7</v>
      </c>
    </row>
    <row r="799" spans="1:5" ht="14.25" customHeight="1" x14ac:dyDescent="0.25">
      <c r="A799" s="1" t="s">
        <v>13</v>
      </c>
      <c r="B799" s="1" t="s">
        <v>270</v>
      </c>
      <c r="C799" s="1" t="s">
        <v>407</v>
      </c>
      <c r="D799" s="1">
        <v>45691</v>
      </c>
      <c r="E799" s="1">
        <v>8</v>
      </c>
    </row>
    <row r="800" spans="1:5" ht="14.25" customHeight="1" x14ac:dyDescent="0.25">
      <c r="A800" s="1" t="s">
        <v>51</v>
      </c>
      <c r="B800" s="1" t="s">
        <v>87</v>
      </c>
      <c r="C800" s="1" t="s">
        <v>407</v>
      </c>
      <c r="D800" s="1">
        <v>83339</v>
      </c>
      <c r="E800" s="1">
        <v>2</v>
      </c>
    </row>
    <row r="801" spans="1:5" ht="14.25" customHeight="1" x14ac:dyDescent="0.25">
      <c r="A801" s="1" t="s">
        <v>5</v>
      </c>
      <c r="B801" s="1" t="s">
        <v>210</v>
      </c>
      <c r="C801" s="1" t="s">
        <v>407</v>
      </c>
      <c r="D801" s="1">
        <v>56825</v>
      </c>
      <c r="E801" s="1">
        <v>10</v>
      </c>
    </row>
    <row r="802" spans="1:5" ht="14.25" customHeight="1" x14ac:dyDescent="0.25">
      <c r="A802" s="1" t="s">
        <v>51</v>
      </c>
      <c r="B802" s="1" t="s">
        <v>272</v>
      </c>
      <c r="C802" s="1" t="s">
        <v>407</v>
      </c>
      <c r="D802" s="1">
        <v>76942</v>
      </c>
      <c r="E802" s="1">
        <v>6</v>
      </c>
    </row>
    <row r="803" spans="1:5" ht="14.25" customHeight="1" x14ac:dyDescent="0.25">
      <c r="A803" s="1" t="s">
        <v>5</v>
      </c>
      <c r="B803" s="1" t="s">
        <v>134</v>
      </c>
      <c r="C803" s="1" t="s">
        <v>407</v>
      </c>
      <c r="D803" s="1">
        <v>52670</v>
      </c>
      <c r="E803" s="1">
        <v>7</v>
      </c>
    </row>
    <row r="804" spans="1:5" ht="14.25" customHeight="1" x14ac:dyDescent="0.25">
      <c r="A804" s="1" t="s">
        <v>23</v>
      </c>
      <c r="B804" s="1" t="s">
        <v>255</v>
      </c>
      <c r="C804" s="1" t="s">
        <v>407</v>
      </c>
      <c r="D804" s="1">
        <v>42267</v>
      </c>
      <c r="E804" s="1">
        <v>9</v>
      </c>
    </row>
    <row r="805" spans="1:5" ht="14.25" customHeight="1" x14ac:dyDescent="0.25">
      <c r="A805" s="1" t="s">
        <v>15</v>
      </c>
      <c r="B805" s="1" t="s">
        <v>202</v>
      </c>
      <c r="C805" s="1" t="s">
        <v>407</v>
      </c>
      <c r="D805" s="1">
        <v>66887</v>
      </c>
      <c r="E805" s="1">
        <v>4</v>
      </c>
    </row>
    <row r="806" spans="1:5" ht="14.25" customHeight="1" x14ac:dyDescent="0.25">
      <c r="A806" s="1" t="s">
        <v>76</v>
      </c>
      <c r="B806" s="1" t="s">
        <v>172</v>
      </c>
      <c r="C806" s="1" t="s">
        <v>407</v>
      </c>
      <c r="D806" s="1">
        <v>83808</v>
      </c>
      <c r="E806" s="1">
        <v>7</v>
      </c>
    </row>
    <row r="807" spans="1:5" ht="14.25" customHeight="1" x14ac:dyDescent="0.25">
      <c r="A807" s="1" t="s">
        <v>13</v>
      </c>
      <c r="B807" s="1" t="s">
        <v>288</v>
      </c>
      <c r="C807" s="1" t="s">
        <v>407</v>
      </c>
      <c r="D807" s="1">
        <v>93050</v>
      </c>
      <c r="E807" s="1">
        <v>4</v>
      </c>
    </row>
    <row r="808" spans="1:5" ht="14.25" customHeight="1" x14ac:dyDescent="0.25">
      <c r="A808" s="1" t="s">
        <v>66</v>
      </c>
      <c r="B808" s="1" t="s">
        <v>67</v>
      </c>
      <c r="C808" s="1" t="s">
        <v>408</v>
      </c>
      <c r="D808" s="1">
        <v>65393</v>
      </c>
      <c r="E808" s="1">
        <v>9</v>
      </c>
    </row>
    <row r="809" spans="1:5" ht="14.25" customHeight="1" x14ac:dyDescent="0.25">
      <c r="A809" s="1" t="s">
        <v>8</v>
      </c>
      <c r="B809" s="1" t="s">
        <v>173</v>
      </c>
      <c r="C809" s="1" t="s">
        <v>408</v>
      </c>
      <c r="D809" s="1">
        <v>13525</v>
      </c>
      <c r="E809" s="1">
        <v>9</v>
      </c>
    </row>
    <row r="810" spans="1:5" ht="14.25" customHeight="1" x14ac:dyDescent="0.25">
      <c r="A810" s="1" t="s">
        <v>5</v>
      </c>
      <c r="B810" s="1" t="s">
        <v>169</v>
      </c>
      <c r="C810" s="1" t="s">
        <v>409</v>
      </c>
      <c r="D810" s="1">
        <v>87132</v>
      </c>
      <c r="E810" s="1">
        <v>4</v>
      </c>
    </row>
    <row r="811" spans="1:5" ht="14.25" customHeight="1" x14ac:dyDescent="0.25">
      <c r="A811" s="1" t="s">
        <v>27</v>
      </c>
      <c r="B811" s="1" t="s">
        <v>83</v>
      </c>
      <c r="C811" s="1" t="s">
        <v>410</v>
      </c>
      <c r="D811" s="1">
        <v>68264</v>
      </c>
      <c r="E811" s="1">
        <v>7</v>
      </c>
    </row>
    <row r="812" spans="1:5" ht="14.25" customHeight="1" x14ac:dyDescent="0.25">
      <c r="A812" s="1" t="s">
        <v>40</v>
      </c>
      <c r="B812" s="1" t="s">
        <v>234</v>
      </c>
      <c r="C812" s="1" t="s">
        <v>410</v>
      </c>
      <c r="D812" s="1">
        <v>31938</v>
      </c>
      <c r="E812" s="1">
        <v>8</v>
      </c>
    </row>
    <row r="813" spans="1:5" ht="14.25" customHeight="1" x14ac:dyDescent="0.25">
      <c r="A813" s="1" t="s">
        <v>23</v>
      </c>
      <c r="B813" s="1" t="s">
        <v>117</v>
      </c>
      <c r="C813" s="1" t="s">
        <v>411</v>
      </c>
      <c r="D813" s="1">
        <v>50222</v>
      </c>
      <c r="E813" s="1">
        <v>3</v>
      </c>
    </row>
    <row r="814" spans="1:5" ht="14.25" customHeight="1" x14ac:dyDescent="0.25">
      <c r="A814" s="1" t="s">
        <v>51</v>
      </c>
      <c r="B814" s="1" t="s">
        <v>98</v>
      </c>
      <c r="C814" s="1" t="s">
        <v>411</v>
      </c>
      <c r="D814" s="1">
        <v>97866</v>
      </c>
      <c r="E814" s="1">
        <v>10</v>
      </c>
    </row>
    <row r="815" spans="1:5" ht="14.25" customHeight="1" x14ac:dyDescent="0.25">
      <c r="A815" s="1" t="s">
        <v>8</v>
      </c>
      <c r="B815" s="1" t="s">
        <v>229</v>
      </c>
      <c r="C815" s="1" t="s">
        <v>412</v>
      </c>
      <c r="D815" s="1">
        <v>35670</v>
      </c>
      <c r="E815" s="1">
        <v>7</v>
      </c>
    </row>
    <row r="816" spans="1:5" ht="14.25" customHeight="1" x14ac:dyDescent="0.25">
      <c r="A816" s="1" t="s">
        <v>10</v>
      </c>
      <c r="B816" s="1" t="s">
        <v>39</v>
      </c>
      <c r="C816" s="1" t="s">
        <v>412</v>
      </c>
      <c r="D816" s="1">
        <v>44105</v>
      </c>
      <c r="E816" s="1">
        <v>5</v>
      </c>
    </row>
    <row r="817" spans="1:5" ht="14.25" customHeight="1" x14ac:dyDescent="0.25">
      <c r="A817" s="1" t="s">
        <v>31</v>
      </c>
      <c r="B817" s="1" t="s">
        <v>92</v>
      </c>
      <c r="C817" s="1" t="s">
        <v>412</v>
      </c>
      <c r="D817" s="1">
        <v>51951</v>
      </c>
      <c r="E817" s="1">
        <v>10</v>
      </c>
    </row>
    <row r="818" spans="1:5" ht="14.25" customHeight="1" x14ac:dyDescent="0.25">
      <c r="A818" s="1" t="s">
        <v>15</v>
      </c>
      <c r="B818" s="1" t="s">
        <v>106</v>
      </c>
      <c r="C818" s="1" t="s">
        <v>412</v>
      </c>
      <c r="D818" s="1">
        <v>50958</v>
      </c>
      <c r="E818" s="1">
        <v>2</v>
      </c>
    </row>
    <row r="819" spans="1:5" ht="14.25" customHeight="1" x14ac:dyDescent="0.25">
      <c r="A819" s="1" t="s">
        <v>27</v>
      </c>
      <c r="B819" s="1" t="s">
        <v>229</v>
      </c>
      <c r="C819" s="1" t="s">
        <v>412</v>
      </c>
      <c r="D819" s="1">
        <v>19126</v>
      </c>
      <c r="E819" s="1">
        <v>8</v>
      </c>
    </row>
    <row r="820" spans="1:5" ht="14.25" customHeight="1" x14ac:dyDescent="0.25">
      <c r="A820" s="1" t="s">
        <v>10</v>
      </c>
      <c r="B820" s="1" t="s">
        <v>49</v>
      </c>
      <c r="C820" s="1" t="s">
        <v>413</v>
      </c>
      <c r="D820" s="1">
        <v>72074</v>
      </c>
      <c r="E820" s="1">
        <v>7</v>
      </c>
    </row>
    <row r="821" spans="1:5" ht="14.25" customHeight="1" x14ac:dyDescent="0.25">
      <c r="A821" s="1" t="s">
        <v>76</v>
      </c>
      <c r="B821" s="1" t="s">
        <v>168</v>
      </c>
      <c r="C821" s="1" t="s">
        <v>413</v>
      </c>
      <c r="D821" s="1">
        <v>64955</v>
      </c>
      <c r="E821" s="1">
        <v>7</v>
      </c>
    </row>
    <row r="822" spans="1:5" ht="14.25" customHeight="1" x14ac:dyDescent="0.25">
      <c r="A822" s="1" t="s">
        <v>15</v>
      </c>
      <c r="B822" s="1" t="s">
        <v>286</v>
      </c>
      <c r="C822" s="1" t="s">
        <v>413</v>
      </c>
      <c r="D822" s="1">
        <v>37395</v>
      </c>
      <c r="E822" s="1">
        <v>2</v>
      </c>
    </row>
    <row r="823" spans="1:5" ht="14.25" customHeight="1" x14ac:dyDescent="0.25">
      <c r="A823" s="1" t="s">
        <v>51</v>
      </c>
      <c r="B823" s="1" t="s">
        <v>216</v>
      </c>
      <c r="C823" s="1" t="s">
        <v>414</v>
      </c>
      <c r="D823" s="1">
        <v>19404</v>
      </c>
      <c r="E823" s="1">
        <v>10</v>
      </c>
    </row>
    <row r="824" spans="1:5" ht="14.25" customHeight="1" x14ac:dyDescent="0.25">
      <c r="A824" s="1" t="s">
        <v>5</v>
      </c>
      <c r="B824" s="1" t="s">
        <v>36</v>
      </c>
      <c r="C824" s="1" t="s">
        <v>414</v>
      </c>
      <c r="D824" s="1">
        <v>63085</v>
      </c>
      <c r="E824" s="1">
        <v>9</v>
      </c>
    </row>
    <row r="825" spans="1:5" ht="14.25" customHeight="1" x14ac:dyDescent="0.25">
      <c r="A825" s="1" t="s">
        <v>10</v>
      </c>
      <c r="B825" s="1" t="s">
        <v>233</v>
      </c>
      <c r="C825" s="1" t="s">
        <v>415</v>
      </c>
      <c r="D825" s="1">
        <v>69657</v>
      </c>
      <c r="E825" s="1">
        <v>7</v>
      </c>
    </row>
    <row r="826" spans="1:5" ht="14.25" customHeight="1" x14ac:dyDescent="0.25">
      <c r="A826" s="1" t="s">
        <v>5</v>
      </c>
      <c r="B826" s="1" t="s">
        <v>184</v>
      </c>
      <c r="C826" s="1" t="s">
        <v>415</v>
      </c>
      <c r="D826" s="1">
        <v>57855</v>
      </c>
      <c r="E826" s="1">
        <v>6</v>
      </c>
    </row>
    <row r="827" spans="1:5" ht="14.25" customHeight="1" x14ac:dyDescent="0.25">
      <c r="A827" s="1" t="s">
        <v>31</v>
      </c>
      <c r="B827" s="1" t="s">
        <v>220</v>
      </c>
      <c r="C827" s="1" t="s">
        <v>416</v>
      </c>
      <c r="D827" s="1">
        <v>87724</v>
      </c>
      <c r="E827" s="1">
        <v>4</v>
      </c>
    </row>
    <row r="828" spans="1:5" ht="14.25" customHeight="1" x14ac:dyDescent="0.25">
      <c r="A828" s="1" t="s">
        <v>5</v>
      </c>
      <c r="B828" s="1" t="s">
        <v>249</v>
      </c>
      <c r="C828" s="1" t="s">
        <v>417</v>
      </c>
      <c r="D828" s="1">
        <v>12406</v>
      </c>
      <c r="E828" s="1">
        <v>7</v>
      </c>
    </row>
    <row r="829" spans="1:5" ht="14.25" customHeight="1" x14ac:dyDescent="0.25">
      <c r="A829" s="1" t="s">
        <v>13</v>
      </c>
      <c r="B829" s="1" t="s">
        <v>191</v>
      </c>
      <c r="C829" s="1" t="s">
        <v>417</v>
      </c>
      <c r="D829" s="1">
        <v>52115</v>
      </c>
      <c r="E829" s="1">
        <v>7</v>
      </c>
    </row>
    <row r="830" spans="1:5" ht="14.25" customHeight="1" x14ac:dyDescent="0.25">
      <c r="A830" s="1" t="s">
        <v>66</v>
      </c>
      <c r="B830" s="1" t="s">
        <v>43</v>
      </c>
      <c r="C830" s="1" t="s">
        <v>417</v>
      </c>
      <c r="D830" s="1">
        <v>26612</v>
      </c>
      <c r="E830" s="1">
        <v>10</v>
      </c>
    </row>
    <row r="831" spans="1:5" ht="14.25" customHeight="1" x14ac:dyDescent="0.25">
      <c r="A831" s="1" t="s">
        <v>27</v>
      </c>
      <c r="B831" s="1" t="s">
        <v>140</v>
      </c>
      <c r="C831" s="1" t="s">
        <v>417</v>
      </c>
      <c r="D831" s="1">
        <v>82070</v>
      </c>
      <c r="E831" s="1">
        <v>5</v>
      </c>
    </row>
    <row r="832" spans="1:5" ht="14.25" customHeight="1" x14ac:dyDescent="0.25">
      <c r="A832" s="1" t="s">
        <v>23</v>
      </c>
      <c r="B832" s="1" t="s">
        <v>179</v>
      </c>
      <c r="C832" s="1" t="s">
        <v>417</v>
      </c>
      <c r="D832" s="1">
        <v>90129</v>
      </c>
      <c r="E832" s="1">
        <v>4</v>
      </c>
    </row>
    <row r="833" spans="1:5" ht="14.25" customHeight="1" x14ac:dyDescent="0.25">
      <c r="A833" s="1" t="s">
        <v>5</v>
      </c>
      <c r="B833" s="1" t="s">
        <v>45</v>
      </c>
      <c r="C833" s="1" t="s">
        <v>417</v>
      </c>
      <c r="D833" s="1">
        <v>55261</v>
      </c>
      <c r="E833" s="1">
        <v>7</v>
      </c>
    </row>
    <row r="834" spans="1:5" ht="14.25" customHeight="1" x14ac:dyDescent="0.25">
      <c r="A834" s="1" t="s">
        <v>51</v>
      </c>
      <c r="B834" s="1" t="s">
        <v>61</v>
      </c>
      <c r="C834" s="1" t="s">
        <v>417</v>
      </c>
      <c r="D834" s="1">
        <v>79214</v>
      </c>
      <c r="E834" s="1">
        <v>8</v>
      </c>
    </row>
    <row r="835" spans="1:5" ht="14.25" customHeight="1" x14ac:dyDescent="0.25">
      <c r="A835" s="1" t="s">
        <v>23</v>
      </c>
      <c r="B835" s="1" t="s">
        <v>194</v>
      </c>
      <c r="C835" s="1" t="s">
        <v>417</v>
      </c>
      <c r="D835" s="1">
        <v>76836</v>
      </c>
      <c r="E835" s="1">
        <v>8</v>
      </c>
    </row>
    <row r="836" spans="1:5" ht="14.25" customHeight="1" x14ac:dyDescent="0.25">
      <c r="A836" s="1" t="s">
        <v>51</v>
      </c>
      <c r="B836" s="1" t="s">
        <v>373</v>
      </c>
      <c r="C836" s="1" t="s">
        <v>418</v>
      </c>
      <c r="D836" s="1">
        <v>73098</v>
      </c>
      <c r="E836" s="1">
        <v>7</v>
      </c>
    </row>
    <row r="837" spans="1:5" ht="14.25" customHeight="1" x14ac:dyDescent="0.25">
      <c r="A837" s="1" t="s">
        <v>31</v>
      </c>
      <c r="B837" s="1" t="s">
        <v>14</v>
      </c>
      <c r="C837" s="1" t="s">
        <v>418</v>
      </c>
      <c r="D837" s="1">
        <v>52428</v>
      </c>
      <c r="E837" s="1">
        <v>7</v>
      </c>
    </row>
    <row r="838" spans="1:5" ht="14.25" customHeight="1" x14ac:dyDescent="0.25">
      <c r="A838" s="1" t="s">
        <v>8</v>
      </c>
      <c r="B838" s="1" t="s">
        <v>224</v>
      </c>
      <c r="C838" s="1" t="s">
        <v>419</v>
      </c>
      <c r="D838" s="1">
        <v>33781</v>
      </c>
      <c r="E838" s="1">
        <v>4</v>
      </c>
    </row>
    <row r="839" spans="1:5" ht="14.25" customHeight="1" x14ac:dyDescent="0.25">
      <c r="A839" s="1" t="s">
        <v>5</v>
      </c>
      <c r="B839" s="1" t="s">
        <v>54</v>
      </c>
      <c r="C839" s="1" t="s">
        <v>419</v>
      </c>
      <c r="D839" s="1">
        <v>49337</v>
      </c>
      <c r="E839" s="1">
        <v>7</v>
      </c>
    </row>
    <row r="840" spans="1:5" ht="14.25" customHeight="1" x14ac:dyDescent="0.25">
      <c r="A840" s="1" t="s">
        <v>15</v>
      </c>
      <c r="B840" s="1" t="s">
        <v>288</v>
      </c>
      <c r="C840" s="1" t="s">
        <v>419</v>
      </c>
      <c r="D840" s="1">
        <v>52727</v>
      </c>
      <c r="E840" s="1">
        <v>3</v>
      </c>
    </row>
    <row r="841" spans="1:5" ht="14.25" customHeight="1" x14ac:dyDescent="0.25">
      <c r="A841" s="1" t="s">
        <v>5</v>
      </c>
      <c r="B841" s="1" t="s">
        <v>193</v>
      </c>
      <c r="C841" s="1" t="s">
        <v>420</v>
      </c>
      <c r="D841" s="1">
        <v>64250</v>
      </c>
      <c r="E841" s="1">
        <v>10</v>
      </c>
    </row>
    <row r="842" spans="1:5" ht="14.25" customHeight="1" x14ac:dyDescent="0.25">
      <c r="A842" s="1" t="s">
        <v>76</v>
      </c>
      <c r="B842" s="1" t="s">
        <v>196</v>
      </c>
      <c r="C842" s="1" t="s">
        <v>421</v>
      </c>
      <c r="D842" s="1">
        <v>86605</v>
      </c>
      <c r="E842" s="1">
        <v>4</v>
      </c>
    </row>
    <row r="843" spans="1:5" ht="14.25" customHeight="1" x14ac:dyDescent="0.25">
      <c r="A843" s="1" t="s">
        <v>23</v>
      </c>
      <c r="B843" s="1" t="s">
        <v>54</v>
      </c>
      <c r="C843" s="1" t="s">
        <v>421</v>
      </c>
      <c r="D843" s="1">
        <v>43491</v>
      </c>
      <c r="E843" s="1">
        <v>5</v>
      </c>
    </row>
    <row r="844" spans="1:5" ht="14.25" customHeight="1" x14ac:dyDescent="0.25">
      <c r="A844" s="1" t="s">
        <v>13</v>
      </c>
      <c r="B844" s="1" t="s">
        <v>46</v>
      </c>
      <c r="C844" s="1" t="s">
        <v>422</v>
      </c>
      <c r="D844" s="1">
        <v>13899</v>
      </c>
      <c r="E844" s="1">
        <v>5</v>
      </c>
    </row>
    <row r="845" spans="1:5" ht="14.25" customHeight="1" x14ac:dyDescent="0.25">
      <c r="A845" s="1" t="s">
        <v>8</v>
      </c>
      <c r="B845" s="1" t="s">
        <v>72</v>
      </c>
      <c r="C845" s="1" t="s">
        <v>422</v>
      </c>
      <c r="D845" s="1">
        <v>71573</v>
      </c>
      <c r="E845" s="1">
        <v>8</v>
      </c>
    </row>
    <row r="846" spans="1:5" ht="14.25" customHeight="1" x14ac:dyDescent="0.25">
      <c r="A846" s="1" t="s">
        <v>66</v>
      </c>
      <c r="B846" s="1" t="s">
        <v>38</v>
      </c>
      <c r="C846" s="1" t="s">
        <v>422</v>
      </c>
      <c r="D846" s="1">
        <v>51538</v>
      </c>
      <c r="E846" s="1">
        <v>8</v>
      </c>
    </row>
    <row r="847" spans="1:5" ht="14.25" customHeight="1" x14ac:dyDescent="0.25">
      <c r="A847" s="1" t="s">
        <v>51</v>
      </c>
      <c r="B847" s="1" t="s">
        <v>56</v>
      </c>
      <c r="C847" s="1" t="s">
        <v>422</v>
      </c>
      <c r="D847" s="1">
        <v>75935</v>
      </c>
      <c r="E847" s="1">
        <v>3</v>
      </c>
    </row>
    <row r="848" spans="1:5" ht="14.25" customHeight="1" x14ac:dyDescent="0.25">
      <c r="A848" s="1" t="s">
        <v>76</v>
      </c>
      <c r="B848" s="1" t="s">
        <v>228</v>
      </c>
      <c r="C848" s="1" t="s">
        <v>422</v>
      </c>
      <c r="D848" s="1">
        <v>32412</v>
      </c>
      <c r="E848" s="1">
        <v>6</v>
      </c>
    </row>
    <row r="849" spans="1:5" ht="14.25" customHeight="1" x14ac:dyDescent="0.25">
      <c r="A849" s="1" t="s">
        <v>23</v>
      </c>
      <c r="B849" s="1" t="s">
        <v>61</v>
      </c>
      <c r="C849" s="1" t="s">
        <v>423</v>
      </c>
      <c r="D849" s="1">
        <v>73025</v>
      </c>
      <c r="E849" s="1">
        <v>6</v>
      </c>
    </row>
    <row r="850" spans="1:5" ht="14.25" customHeight="1" x14ac:dyDescent="0.25">
      <c r="A850" s="1" t="s">
        <v>5</v>
      </c>
      <c r="B850" s="1" t="s">
        <v>324</v>
      </c>
      <c r="C850" s="1" t="s">
        <v>423</v>
      </c>
      <c r="D850" s="1">
        <v>37845</v>
      </c>
      <c r="E850" s="1">
        <v>6</v>
      </c>
    </row>
    <row r="851" spans="1:5" ht="14.25" customHeight="1" x14ac:dyDescent="0.25">
      <c r="A851" s="1" t="s">
        <v>76</v>
      </c>
      <c r="B851" s="1" t="s">
        <v>102</v>
      </c>
      <c r="C851" s="1" t="s">
        <v>423</v>
      </c>
      <c r="D851" s="1">
        <v>72679</v>
      </c>
      <c r="E851" s="1">
        <v>2</v>
      </c>
    </row>
    <row r="852" spans="1:5" ht="14.25" customHeight="1" x14ac:dyDescent="0.25">
      <c r="A852" s="1" t="s">
        <v>31</v>
      </c>
      <c r="B852" s="1" t="s">
        <v>54</v>
      </c>
      <c r="C852" s="1" t="s">
        <v>424</v>
      </c>
      <c r="D852" s="1">
        <v>94208</v>
      </c>
      <c r="E852" s="1">
        <v>6</v>
      </c>
    </row>
    <row r="853" spans="1:5" ht="14.25" customHeight="1" x14ac:dyDescent="0.25">
      <c r="A853" s="1" t="s">
        <v>27</v>
      </c>
      <c r="B853" s="1" t="s">
        <v>133</v>
      </c>
      <c r="C853" s="1" t="s">
        <v>424</v>
      </c>
      <c r="D853" s="1">
        <v>95563</v>
      </c>
      <c r="E853" s="1">
        <v>5</v>
      </c>
    </row>
    <row r="854" spans="1:5" ht="14.25" customHeight="1" x14ac:dyDescent="0.25">
      <c r="A854" s="1" t="s">
        <v>51</v>
      </c>
      <c r="B854" s="1" t="s">
        <v>43</v>
      </c>
      <c r="C854" s="1" t="s">
        <v>425</v>
      </c>
      <c r="D854" s="1">
        <v>30287</v>
      </c>
      <c r="E854" s="1">
        <v>7</v>
      </c>
    </row>
    <row r="855" spans="1:5" ht="14.25" customHeight="1" x14ac:dyDescent="0.25">
      <c r="A855" s="1" t="s">
        <v>15</v>
      </c>
      <c r="B855" s="1" t="s">
        <v>129</v>
      </c>
      <c r="C855" s="1" t="s">
        <v>426</v>
      </c>
      <c r="D855" s="1">
        <v>90269</v>
      </c>
      <c r="E855" s="1">
        <v>8</v>
      </c>
    </row>
    <row r="856" spans="1:5" ht="14.25" customHeight="1" x14ac:dyDescent="0.25">
      <c r="A856" s="1" t="s">
        <v>8</v>
      </c>
      <c r="B856" s="1" t="s">
        <v>224</v>
      </c>
      <c r="C856" s="1" t="s">
        <v>427</v>
      </c>
      <c r="D856" s="1">
        <v>52633</v>
      </c>
      <c r="E856" s="1">
        <v>2</v>
      </c>
    </row>
    <row r="857" spans="1:5" ht="14.25" customHeight="1" x14ac:dyDescent="0.25">
      <c r="A857" s="1" t="s">
        <v>10</v>
      </c>
      <c r="B857" s="1" t="s">
        <v>131</v>
      </c>
      <c r="C857" s="1" t="s">
        <v>427</v>
      </c>
      <c r="D857" s="1">
        <v>79439</v>
      </c>
      <c r="E857" s="1">
        <v>6</v>
      </c>
    </row>
    <row r="858" spans="1:5" ht="14.25" customHeight="1" x14ac:dyDescent="0.25">
      <c r="A858" s="1" t="s">
        <v>10</v>
      </c>
      <c r="B858" s="1" t="s">
        <v>124</v>
      </c>
      <c r="C858" s="1" t="s">
        <v>427</v>
      </c>
      <c r="D858" s="1">
        <v>69175</v>
      </c>
      <c r="E858" s="1">
        <v>8</v>
      </c>
    </row>
    <row r="859" spans="1:5" ht="14.25" customHeight="1" x14ac:dyDescent="0.25">
      <c r="A859" s="1" t="s">
        <v>76</v>
      </c>
      <c r="B859" s="1" t="s">
        <v>272</v>
      </c>
      <c r="C859" s="1" t="s">
        <v>427</v>
      </c>
      <c r="D859" s="1">
        <v>95114</v>
      </c>
      <c r="E859" s="1">
        <v>7</v>
      </c>
    </row>
    <row r="860" spans="1:5" ht="14.25" customHeight="1" x14ac:dyDescent="0.25">
      <c r="A860" s="1" t="s">
        <v>76</v>
      </c>
      <c r="B860" s="1" t="s">
        <v>247</v>
      </c>
      <c r="C860" s="1" t="s">
        <v>427</v>
      </c>
      <c r="D860" s="1">
        <v>81891</v>
      </c>
      <c r="E860" s="1">
        <v>5</v>
      </c>
    </row>
    <row r="861" spans="1:5" ht="14.25" customHeight="1" x14ac:dyDescent="0.25">
      <c r="A861" s="1" t="s">
        <v>23</v>
      </c>
      <c r="B861" s="1" t="s">
        <v>262</v>
      </c>
      <c r="C861" s="1" t="s">
        <v>427</v>
      </c>
      <c r="D861" s="1">
        <v>23215</v>
      </c>
      <c r="E861" s="1">
        <v>9</v>
      </c>
    </row>
    <row r="862" spans="1:5" ht="14.25" customHeight="1" x14ac:dyDescent="0.25">
      <c r="A862" s="1" t="s">
        <v>23</v>
      </c>
      <c r="B862" s="1" t="s">
        <v>284</v>
      </c>
      <c r="C862" s="1" t="s">
        <v>427</v>
      </c>
      <c r="D862" s="1">
        <v>92202</v>
      </c>
      <c r="E862" s="1">
        <v>9</v>
      </c>
    </row>
    <row r="863" spans="1:5" ht="14.25" customHeight="1" x14ac:dyDescent="0.25">
      <c r="A863" s="1" t="s">
        <v>13</v>
      </c>
      <c r="B863" s="1" t="s">
        <v>276</v>
      </c>
      <c r="C863" s="1" t="s">
        <v>427</v>
      </c>
      <c r="D863" s="1">
        <v>17398</v>
      </c>
      <c r="E863" s="1">
        <v>6</v>
      </c>
    </row>
    <row r="864" spans="1:5" ht="14.25" customHeight="1" x14ac:dyDescent="0.25">
      <c r="A864" s="1" t="s">
        <v>15</v>
      </c>
      <c r="B864" s="1" t="s">
        <v>111</v>
      </c>
      <c r="C864" s="1" t="s">
        <v>427</v>
      </c>
      <c r="D864" s="1">
        <v>51864</v>
      </c>
      <c r="E864" s="1">
        <v>8</v>
      </c>
    </row>
    <row r="865" spans="1:5" ht="14.25" customHeight="1" x14ac:dyDescent="0.25">
      <c r="A865" s="1" t="s">
        <v>40</v>
      </c>
      <c r="B865" s="1" t="s">
        <v>58</v>
      </c>
      <c r="C865" s="1" t="s">
        <v>427</v>
      </c>
      <c r="D865" s="1">
        <v>82832</v>
      </c>
      <c r="E865" s="1">
        <v>1</v>
      </c>
    </row>
    <row r="866" spans="1:5" ht="14.25" customHeight="1" x14ac:dyDescent="0.25">
      <c r="A866" s="1" t="s">
        <v>27</v>
      </c>
      <c r="B866" s="1" t="s">
        <v>79</v>
      </c>
      <c r="C866" s="1" t="s">
        <v>427</v>
      </c>
      <c r="D866" s="1">
        <v>85650</v>
      </c>
      <c r="E866" s="1">
        <v>8</v>
      </c>
    </row>
    <row r="867" spans="1:5" ht="14.25" customHeight="1" x14ac:dyDescent="0.25">
      <c r="A867" s="1" t="s">
        <v>66</v>
      </c>
      <c r="B867" s="1" t="s">
        <v>184</v>
      </c>
      <c r="C867" s="1" t="s">
        <v>427</v>
      </c>
      <c r="D867" s="1">
        <v>93609</v>
      </c>
      <c r="E867" s="1">
        <v>8</v>
      </c>
    </row>
    <row r="868" spans="1:5" ht="14.25" customHeight="1" x14ac:dyDescent="0.25">
      <c r="A868" s="1" t="s">
        <v>10</v>
      </c>
      <c r="B868" s="1" t="s">
        <v>109</v>
      </c>
      <c r="C868" s="1" t="s">
        <v>428</v>
      </c>
      <c r="D868" s="1">
        <v>42942</v>
      </c>
      <c r="E868" s="1">
        <v>6</v>
      </c>
    </row>
    <row r="869" spans="1:5" ht="14.25" customHeight="1" x14ac:dyDescent="0.25">
      <c r="A869" s="1" t="s">
        <v>13</v>
      </c>
      <c r="B869" s="1" t="s">
        <v>121</v>
      </c>
      <c r="C869" s="1" t="s">
        <v>428</v>
      </c>
      <c r="D869" s="1">
        <v>47248</v>
      </c>
      <c r="E869" s="1">
        <v>0</v>
      </c>
    </row>
    <row r="870" spans="1:5" ht="14.25" customHeight="1" x14ac:dyDescent="0.25">
      <c r="A870" s="1" t="s">
        <v>76</v>
      </c>
      <c r="B870" s="1" t="s">
        <v>130</v>
      </c>
      <c r="C870" s="1" t="s">
        <v>428</v>
      </c>
      <c r="D870" s="1">
        <v>45710</v>
      </c>
      <c r="E870" s="1">
        <v>8</v>
      </c>
    </row>
    <row r="871" spans="1:5" ht="14.25" customHeight="1" x14ac:dyDescent="0.25">
      <c r="A871" s="1" t="s">
        <v>31</v>
      </c>
      <c r="B871" s="1" t="s">
        <v>142</v>
      </c>
      <c r="C871" s="1" t="s">
        <v>428</v>
      </c>
      <c r="D871" s="1">
        <v>45534</v>
      </c>
      <c r="E871" s="1">
        <v>7</v>
      </c>
    </row>
    <row r="872" spans="1:5" ht="14.25" customHeight="1" x14ac:dyDescent="0.25">
      <c r="A872" s="1" t="s">
        <v>10</v>
      </c>
      <c r="B872" s="1" t="s">
        <v>235</v>
      </c>
      <c r="C872" s="1" t="s">
        <v>429</v>
      </c>
      <c r="D872" s="1">
        <v>87404</v>
      </c>
      <c r="E872" s="1">
        <v>2</v>
      </c>
    </row>
    <row r="873" spans="1:5" ht="14.25" customHeight="1" x14ac:dyDescent="0.25">
      <c r="A873" s="1" t="s">
        <v>27</v>
      </c>
      <c r="B873" s="1" t="s">
        <v>194</v>
      </c>
      <c r="C873" s="1" t="s">
        <v>429</v>
      </c>
      <c r="D873" s="1">
        <v>26713</v>
      </c>
      <c r="E873" s="1">
        <v>8</v>
      </c>
    </row>
    <row r="874" spans="1:5" ht="14.25" customHeight="1" x14ac:dyDescent="0.25">
      <c r="A874" s="1" t="s">
        <v>76</v>
      </c>
      <c r="B874" s="1" t="s">
        <v>125</v>
      </c>
      <c r="C874" s="1" t="s">
        <v>429</v>
      </c>
      <c r="D874" s="1">
        <v>37067</v>
      </c>
      <c r="E874" s="1">
        <v>7</v>
      </c>
    </row>
    <row r="875" spans="1:5" ht="14.25" customHeight="1" x14ac:dyDescent="0.25">
      <c r="A875" s="1" t="s">
        <v>8</v>
      </c>
      <c r="B875" s="1" t="s">
        <v>237</v>
      </c>
      <c r="C875" s="1" t="s">
        <v>429</v>
      </c>
      <c r="D875" s="1">
        <v>26878</v>
      </c>
      <c r="E875" s="1">
        <v>7</v>
      </c>
    </row>
    <row r="876" spans="1:5" ht="14.25" customHeight="1" x14ac:dyDescent="0.25">
      <c r="A876" s="1" t="s">
        <v>5</v>
      </c>
      <c r="B876" s="1" t="s">
        <v>56</v>
      </c>
      <c r="C876" s="1" t="s">
        <v>430</v>
      </c>
      <c r="D876" s="1">
        <v>46653</v>
      </c>
      <c r="E876" s="1">
        <v>9</v>
      </c>
    </row>
    <row r="877" spans="1:5" ht="14.25" customHeight="1" x14ac:dyDescent="0.25">
      <c r="A877" s="1" t="s">
        <v>8</v>
      </c>
      <c r="B877" s="1" t="s">
        <v>251</v>
      </c>
      <c r="C877" s="1" t="s">
        <v>430</v>
      </c>
      <c r="D877" s="1">
        <v>91979</v>
      </c>
      <c r="E877" s="1">
        <v>6</v>
      </c>
    </row>
    <row r="878" spans="1:5" ht="14.25" customHeight="1" x14ac:dyDescent="0.25">
      <c r="A878" s="1" t="s">
        <v>76</v>
      </c>
      <c r="B878" s="1" t="s">
        <v>38</v>
      </c>
      <c r="C878" s="1" t="s">
        <v>430</v>
      </c>
      <c r="D878" s="1">
        <v>46597</v>
      </c>
      <c r="E878" s="1">
        <v>1</v>
      </c>
    </row>
    <row r="879" spans="1:5" ht="14.25" customHeight="1" x14ac:dyDescent="0.25">
      <c r="A879" s="1" t="s">
        <v>23</v>
      </c>
      <c r="B879" s="1" t="s">
        <v>162</v>
      </c>
      <c r="C879" s="1" t="s">
        <v>430</v>
      </c>
      <c r="D879" s="1">
        <v>40321</v>
      </c>
      <c r="E879" s="1">
        <v>4</v>
      </c>
    </row>
    <row r="880" spans="1:5" ht="14.25" customHeight="1" x14ac:dyDescent="0.25">
      <c r="A880" s="1" t="s">
        <v>66</v>
      </c>
      <c r="B880" s="1" t="s">
        <v>25</v>
      </c>
      <c r="C880" s="1" t="s">
        <v>430</v>
      </c>
      <c r="D880" s="1">
        <v>26286</v>
      </c>
      <c r="E880" s="1">
        <v>5</v>
      </c>
    </row>
    <row r="881" spans="1:5" ht="14.25" customHeight="1" x14ac:dyDescent="0.25">
      <c r="A881" s="1" t="s">
        <v>8</v>
      </c>
      <c r="B881" s="1" t="s">
        <v>157</v>
      </c>
      <c r="C881" s="1" t="s">
        <v>430</v>
      </c>
      <c r="D881" s="1">
        <v>47157</v>
      </c>
      <c r="E881" s="1">
        <v>1</v>
      </c>
    </row>
    <row r="882" spans="1:5" ht="14.25" customHeight="1" x14ac:dyDescent="0.25">
      <c r="A882" s="1" t="s">
        <v>51</v>
      </c>
      <c r="B882" s="1" t="s">
        <v>102</v>
      </c>
      <c r="C882" s="1" t="s">
        <v>431</v>
      </c>
      <c r="D882" s="1">
        <v>58651</v>
      </c>
      <c r="E882" s="1">
        <v>9</v>
      </c>
    </row>
    <row r="883" spans="1:5" ht="14.25" customHeight="1" x14ac:dyDescent="0.25">
      <c r="A883" s="1" t="s">
        <v>66</v>
      </c>
      <c r="B883" s="1" t="s">
        <v>115</v>
      </c>
      <c r="C883" s="1" t="s">
        <v>431</v>
      </c>
      <c r="D883" s="1">
        <v>20974</v>
      </c>
      <c r="E883" s="1">
        <v>1</v>
      </c>
    </row>
    <row r="884" spans="1:5" ht="14.25" customHeight="1" x14ac:dyDescent="0.25">
      <c r="A884" s="1" t="s">
        <v>13</v>
      </c>
      <c r="B884" s="1" t="s">
        <v>142</v>
      </c>
      <c r="C884" s="1" t="s">
        <v>431</v>
      </c>
      <c r="D884" s="1">
        <v>76463</v>
      </c>
      <c r="E884" s="1">
        <v>8</v>
      </c>
    </row>
    <row r="885" spans="1:5" ht="14.25" customHeight="1" x14ac:dyDescent="0.25">
      <c r="A885" s="1" t="s">
        <v>8</v>
      </c>
      <c r="B885" s="1" t="s">
        <v>173</v>
      </c>
      <c r="C885" s="1" t="s">
        <v>431</v>
      </c>
      <c r="D885" s="1">
        <v>52088</v>
      </c>
      <c r="E885" s="1">
        <v>8</v>
      </c>
    </row>
    <row r="886" spans="1:5" ht="14.25" customHeight="1" x14ac:dyDescent="0.25">
      <c r="A886" s="1" t="s">
        <v>40</v>
      </c>
      <c r="B886" s="1" t="s">
        <v>96</v>
      </c>
      <c r="C886" s="1" t="s">
        <v>431</v>
      </c>
      <c r="D886" s="1">
        <v>11089</v>
      </c>
      <c r="E886" s="1">
        <v>9</v>
      </c>
    </row>
    <row r="887" spans="1:5" ht="14.25" customHeight="1" x14ac:dyDescent="0.25">
      <c r="A887" s="1" t="s">
        <v>10</v>
      </c>
      <c r="B887" s="1" t="s">
        <v>173</v>
      </c>
      <c r="C887" s="1" t="s">
        <v>431</v>
      </c>
      <c r="D887" s="1">
        <v>27279</v>
      </c>
      <c r="E887" s="1">
        <v>8</v>
      </c>
    </row>
    <row r="888" spans="1:5" ht="14.25" customHeight="1" x14ac:dyDescent="0.25">
      <c r="A888" s="1" t="s">
        <v>13</v>
      </c>
      <c r="B888" s="1" t="s">
        <v>116</v>
      </c>
      <c r="C888" s="1" t="s">
        <v>431</v>
      </c>
      <c r="D888" s="1">
        <v>86471</v>
      </c>
      <c r="E888" s="1">
        <v>8</v>
      </c>
    </row>
    <row r="889" spans="1:5" ht="14.25" customHeight="1" x14ac:dyDescent="0.25">
      <c r="A889" s="1" t="s">
        <v>10</v>
      </c>
      <c r="B889" s="1" t="s">
        <v>206</v>
      </c>
      <c r="C889" s="1" t="s">
        <v>431</v>
      </c>
      <c r="D889" s="1">
        <v>58119</v>
      </c>
      <c r="E889" s="1">
        <v>4</v>
      </c>
    </row>
    <row r="890" spans="1:5" ht="14.25" customHeight="1" x14ac:dyDescent="0.25">
      <c r="A890" s="1" t="s">
        <v>23</v>
      </c>
      <c r="B890" s="1" t="s">
        <v>432</v>
      </c>
      <c r="C890" s="1" t="s">
        <v>431</v>
      </c>
      <c r="D890" s="1">
        <v>39813</v>
      </c>
      <c r="E890" s="1">
        <v>6</v>
      </c>
    </row>
    <row r="891" spans="1:5" ht="14.25" customHeight="1" x14ac:dyDescent="0.25">
      <c r="A891" s="1" t="s">
        <v>31</v>
      </c>
      <c r="B891" s="1" t="s">
        <v>225</v>
      </c>
      <c r="C891" s="1" t="s">
        <v>431</v>
      </c>
      <c r="D891" s="1">
        <v>97445</v>
      </c>
      <c r="E891" s="1">
        <v>3</v>
      </c>
    </row>
    <row r="892" spans="1:5" ht="14.25" customHeight="1" x14ac:dyDescent="0.25">
      <c r="A892" s="1" t="s">
        <v>40</v>
      </c>
      <c r="B892" s="1" t="s">
        <v>72</v>
      </c>
      <c r="C892" s="1" t="s">
        <v>431</v>
      </c>
      <c r="D892" s="1">
        <v>70474</v>
      </c>
      <c r="E892" s="1">
        <v>6</v>
      </c>
    </row>
    <row r="893" spans="1:5" ht="14.25" customHeight="1" x14ac:dyDescent="0.25">
      <c r="A893" s="1" t="s">
        <v>40</v>
      </c>
      <c r="B893" s="1" t="s">
        <v>113</v>
      </c>
      <c r="C893" s="1" t="s">
        <v>431</v>
      </c>
      <c r="D893" s="1">
        <v>66783</v>
      </c>
      <c r="E893" s="1">
        <v>5</v>
      </c>
    </row>
    <row r="894" spans="1:5" ht="14.25" customHeight="1" x14ac:dyDescent="0.25">
      <c r="A894" s="1" t="s">
        <v>5</v>
      </c>
      <c r="B894" s="1" t="s">
        <v>242</v>
      </c>
      <c r="C894" s="1" t="s">
        <v>431</v>
      </c>
      <c r="D894" s="1">
        <v>13574</v>
      </c>
      <c r="E894" s="1">
        <v>7</v>
      </c>
    </row>
    <row r="895" spans="1:5" ht="14.25" customHeight="1" x14ac:dyDescent="0.25">
      <c r="A895" s="1" t="s">
        <v>40</v>
      </c>
      <c r="B895" s="1" t="s">
        <v>18</v>
      </c>
      <c r="C895" s="1" t="s">
        <v>431</v>
      </c>
      <c r="D895" s="1">
        <v>28405</v>
      </c>
      <c r="E895" s="1">
        <v>7</v>
      </c>
    </row>
    <row r="896" spans="1:5" ht="14.25" customHeight="1" x14ac:dyDescent="0.25">
      <c r="A896" s="1" t="s">
        <v>10</v>
      </c>
      <c r="B896" s="1" t="s">
        <v>92</v>
      </c>
      <c r="C896" s="1" t="s">
        <v>431</v>
      </c>
      <c r="D896" s="1">
        <v>77002</v>
      </c>
      <c r="E896" s="1">
        <v>2</v>
      </c>
    </row>
    <row r="897" spans="1:5" ht="14.25" customHeight="1" x14ac:dyDescent="0.25">
      <c r="A897" s="1" t="s">
        <v>5</v>
      </c>
      <c r="B897" s="1" t="s">
        <v>94</v>
      </c>
      <c r="C897" s="1" t="s">
        <v>433</v>
      </c>
      <c r="D897" s="1">
        <v>15672</v>
      </c>
      <c r="E897" s="1">
        <v>7</v>
      </c>
    </row>
    <row r="898" spans="1:5" ht="14.25" customHeight="1" x14ac:dyDescent="0.25">
      <c r="A898" s="1" t="s">
        <v>27</v>
      </c>
      <c r="B898" s="1" t="s">
        <v>373</v>
      </c>
      <c r="C898" s="1" t="s">
        <v>433</v>
      </c>
      <c r="D898" s="1">
        <v>77596</v>
      </c>
      <c r="E898" s="1">
        <v>2</v>
      </c>
    </row>
    <row r="899" spans="1:5" ht="14.25" customHeight="1" x14ac:dyDescent="0.25">
      <c r="A899" s="1" t="s">
        <v>15</v>
      </c>
      <c r="B899" s="1" t="s">
        <v>121</v>
      </c>
      <c r="C899" s="1" t="s">
        <v>433</v>
      </c>
      <c r="D899" s="1">
        <v>26890</v>
      </c>
      <c r="E899" s="1">
        <v>5</v>
      </c>
    </row>
    <row r="900" spans="1:5" ht="14.25" customHeight="1" x14ac:dyDescent="0.25">
      <c r="A900" s="1" t="s">
        <v>40</v>
      </c>
      <c r="B900" s="1" t="s">
        <v>43</v>
      </c>
      <c r="C900" s="1" t="s">
        <v>433</v>
      </c>
      <c r="D900" s="1">
        <v>64927</v>
      </c>
      <c r="E900" s="1">
        <v>10</v>
      </c>
    </row>
    <row r="901" spans="1:5" ht="14.25" customHeight="1" x14ac:dyDescent="0.25">
      <c r="A901" s="1" t="s">
        <v>15</v>
      </c>
      <c r="B901" s="1" t="s">
        <v>202</v>
      </c>
      <c r="C901" s="1" t="s">
        <v>434</v>
      </c>
      <c r="D901" s="1">
        <v>51826</v>
      </c>
      <c r="E901" s="1">
        <v>4</v>
      </c>
    </row>
    <row r="902" spans="1:5" ht="14.25" customHeight="1" x14ac:dyDescent="0.25">
      <c r="A902" s="1" t="s">
        <v>23</v>
      </c>
      <c r="B902" s="1" t="s">
        <v>98</v>
      </c>
      <c r="C902" s="1" t="s">
        <v>435</v>
      </c>
      <c r="D902" s="1">
        <v>64451</v>
      </c>
      <c r="E902" s="1">
        <v>3</v>
      </c>
    </row>
    <row r="903" spans="1:5" ht="14.25" customHeight="1" x14ac:dyDescent="0.25">
      <c r="A903" s="1" t="s">
        <v>51</v>
      </c>
      <c r="B903" s="1" t="s">
        <v>45</v>
      </c>
      <c r="C903" s="1" t="s">
        <v>435</v>
      </c>
      <c r="D903" s="1">
        <v>30826</v>
      </c>
      <c r="E903" s="1">
        <v>5</v>
      </c>
    </row>
    <row r="904" spans="1:5" ht="14.25" customHeight="1" x14ac:dyDescent="0.25">
      <c r="A904" s="1" t="s">
        <v>10</v>
      </c>
      <c r="B904" s="1" t="s">
        <v>72</v>
      </c>
      <c r="C904" s="1" t="s">
        <v>435</v>
      </c>
      <c r="D904" s="1">
        <v>66550</v>
      </c>
      <c r="E904" s="1">
        <v>1</v>
      </c>
    </row>
    <row r="905" spans="1:5" ht="14.25" customHeight="1" x14ac:dyDescent="0.25">
      <c r="A905" s="1" t="s">
        <v>10</v>
      </c>
      <c r="B905" s="1" t="s">
        <v>211</v>
      </c>
      <c r="C905" s="1" t="s">
        <v>435</v>
      </c>
      <c r="D905" s="1">
        <v>14094</v>
      </c>
      <c r="E905" s="1">
        <v>8</v>
      </c>
    </row>
    <row r="906" spans="1:5" ht="14.25" customHeight="1" x14ac:dyDescent="0.25">
      <c r="A906" s="1" t="s">
        <v>23</v>
      </c>
      <c r="B906" s="1" t="s">
        <v>237</v>
      </c>
      <c r="C906" s="1" t="s">
        <v>436</v>
      </c>
      <c r="D906" s="1">
        <v>89086</v>
      </c>
      <c r="E906" s="1">
        <v>4</v>
      </c>
    </row>
    <row r="907" spans="1:5" ht="14.25" customHeight="1" x14ac:dyDescent="0.25">
      <c r="A907" s="1" t="s">
        <v>76</v>
      </c>
      <c r="B907" s="1" t="s">
        <v>130</v>
      </c>
      <c r="C907" s="1" t="s">
        <v>436</v>
      </c>
      <c r="D907" s="1">
        <v>87566</v>
      </c>
      <c r="E907" s="1">
        <v>8</v>
      </c>
    </row>
    <row r="908" spans="1:5" ht="14.25" customHeight="1" x14ac:dyDescent="0.25">
      <c r="A908" s="1" t="s">
        <v>10</v>
      </c>
      <c r="B908" s="1" t="s">
        <v>299</v>
      </c>
      <c r="C908" s="1" t="s">
        <v>436</v>
      </c>
      <c r="D908" s="1">
        <v>36464</v>
      </c>
      <c r="E908" s="1">
        <v>8</v>
      </c>
    </row>
    <row r="909" spans="1:5" ht="14.25" customHeight="1" x14ac:dyDescent="0.25">
      <c r="A909" s="1" t="s">
        <v>27</v>
      </c>
      <c r="B909" s="1" t="s">
        <v>72</v>
      </c>
      <c r="C909" s="1" t="s">
        <v>436</v>
      </c>
      <c r="D909" s="1">
        <v>38711</v>
      </c>
      <c r="E909" s="1">
        <v>6</v>
      </c>
    </row>
    <row r="910" spans="1:5" ht="14.25" customHeight="1" x14ac:dyDescent="0.25">
      <c r="A910" s="1" t="s">
        <v>15</v>
      </c>
      <c r="B910" s="1" t="s">
        <v>224</v>
      </c>
      <c r="C910" s="1" t="s">
        <v>436</v>
      </c>
      <c r="D910" s="1">
        <v>95839</v>
      </c>
      <c r="E910" s="1">
        <v>6</v>
      </c>
    </row>
    <row r="911" spans="1:5" ht="14.25" customHeight="1" x14ac:dyDescent="0.25">
      <c r="A911" s="1" t="s">
        <v>15</v>
      </c>
      <c r="B911" s="1" t="s">
        <v>148</v>
      </c>
      <c r="C911" s="1" t="s">
        <v>436</v>
      </c>
      <c r="D911" s="1">
        <v>98060</v>
      </c>
      <c r="E911" s="1">
        <v>1</v>
      </c>
    </row>
    <row r="912" spans="1:5" ht="14.25" customHeight="1" x14ac:dyDescent="0.25">
      <c r="A912" s="1" t="s">
        <v>15</v>
      </c>
      <c r="B912" s="1" t="s">
        <v>6</v>
      </c>
      <c r="C912" s="1" t="s">
        <v>436</v>
      </c>
      <c r="D912" s="1">
        <v>75726</v>
      </c>
      <c r="E912" s="1">
        <v>9</v>
      </c>
    </row>
    <row r="913" spans="1:5" ht="14.25" customHeight="1" x14ac:dyDescent="0.25">
      <c r="A913" s="1" t="s">
        <v>27</v>
      </c>
      <c r="B913" s="1" t="s">
        <v>168</v>
      </c>
      <c r="C913" s="1" t="s">
        <v>436</v>
      </c>
      <c r="D913" s="1">
        <v>34183</v>
      </c>
      <c r="E913" s="1">
        <v>3</v>
      </c>
    </row>
    <row r="914" spans="1:5" ht="14.25" customHeight="1" x14ac:dyDescent="0.25">
      <c r="A914" s="1" t="s">
        <v>40</v>
      </c>
      <c r="B914" s="1" t="s">
        <v>262</v>
      </c>
      <c r="C914" s="1" t="s">
        <v>436</v>
      </c>
      <c r="D914" s="1">
        <v>50528</v>
      </c>
      <c r="E914" s="1">
        <v>5</v>
      </c>
    </row>
    <row r="915" spans="1:5" ht="14.25" customHeight="1" x14ac:dyDescent="0.25">
      <c r="A915" s="1" t="s">
        <v>40</v>
      </c>
      <c r="B915" s="1" t="s">
        <v>89</v>
      </c>
      <c r="C915" s="1" t="s">
        <v>437</v>
      </c>
      <c r="D915" s="1">
        <v>60997</v>
      </c>
      <c r="E915" s="1">
        <v>5</v>
      </c>
    </row>
    <row r="916" spans="1:5" ht="14.25" customHeight="1" x14ac:dyDescent="0.25">
      <c r="A916" s="1" t="s">
        <v>15</v>
      </c>
      <c r="B916" s="1" t="s">
        <v>47</v>
      </c>
      <c r="C916" s="1" t="s">
        <v>438</v>
      </c>
      <c r="D916" s="1">
        <v>35696</v>
      </c>
      <c r="E916" s="1">
        <v>5</v>
      </c>
    </row>
    <row r="917" spans="1:5" ht="14.25" customHeight="1" x14ac:dyDescent="0.25">
      <c r="A917" s="1" t="s">
        <v>13</v>
      </c>
      <c r="B917" s="1" t="s">
        <v>173</v>
      </c>
      <c r="C917" s="1" t="s">
        <v>438</v>
      </c>
      <c r="D917" s="1">
        <v>53865</v>
      </c>
      <c r="E917" s="1">
        <v>6</v>
      </c>
    </row>
    <row r="918" spans="1:5" ht="14.25" customHeight="1" x14ac:dyDescent="0.25">
      <c r="A918" s="1" t="s">
        <v>76</v>
      </c>
      <c r="B918" s="1" t="s">
        <v>32</v>
      </c>
      <c r="C918" s="1" t="s">
        <v>439</v>
      </c>
      <c r="D918" s="1">
        <v>69129</v>
      </c>
      <c r="E918" s="1">
        <v>3</v>
      </c>
    </row>
    <row r="919" spans="1:5" ht="14.25" customHeight="1" x14ac:dyDescent="0.25">
      <c r="A919" s="1" t="s">
        <v>5</v>
      </c>
      <c r="B919" s="1" t="s">
        <v>324</v>
      </c>
      <c r="C919" s="1" t="s">
        <v>439</v>
      </c>
      <c r="D919" s="1">
        <v>13110</v>
      </c>
      <c r="E919" s="1">
        <v>4</v>
      </c>
    </row>
    <row r="920" spans="1:5" ht="14.25" customHeight="1" x14ac:dyDescent="0.25">
      <c r="A920" s="1" t="s">
        <v>51</v>
      </c>
      <c r="B920" s="1" t="s">
        <v>243</v>
      </c>
      <c r="C920" s="1" t="s">
        <v>440</v>
      </c>
      <c r="D920" s="1">
        <v>65650</v>
      </c>
      <c r="E920" s="1">
        <v>0</v>
      </c>
    </row>
    <row r="921" spans="1:5" ht="14.25" customHeight="1" x14ac:dyDescent="0.25">
      <c r="A921" s="1" t="s">
        <v>23</v>
      </c>
      <c r="B921" s="1" t="s">
        <v>65</v>
      </c>
      <c r="C921" s="1" t="s">
        <v>440</v>
      </c>
      <c r="D921" s="1">
        <v>45681</v>
      </c>
      <c r="E921" s="1">
        <v>4</v>
      </c>
    </row>
    <row r="922" spans="1:5" ht="14.25" customHeight="1" x14ac:dyDescent="0.25">
      <c r="A922" s="1" t="s">
        <v>13</v>
      </c>
      <c r="B922" s="1" t="s">
        <v>235</v>
      </c>
      <c r="C922" s="1" t="s">
        <v>440</v>
      </c>
      <c r="D922" s="1">
        <v>80293</v>
      </c>
      <c r="E922" s="1">
        <v>6</v>
      </c>
    </row>
    <row r="923" spans="1:5" ht="14.25" customHeight="1" x14ac:dyDescent="0.25">
      <c r="A923" s="1" t="s">
        <v>23</v>
      </c>
      <c r="B923" s="1" t="s">
        <v>30</v>
      </c>
      <c r="C923" s="1" t="s">
        <v>440</v>
      </c>
      <c r="D923" s="1">
        <v>49401</v>
      </c>
      <c r="E923" s="1">
        <v>7</v>
      </c>
    </row>
    <row r="924" spans="1:5" ht="14.25" customHeight="1" x14ac:dyDescent="0.25">
      <c r="A924" s="1" t="s">
        <v>76</v>
      </c>
      <c r="B924" s="1" t="s">
        <v>47</v>
      </c>
      <c r="C924" s="1" t="s">
        <v>440</v>
      </c>
      <c r="D924" s="1">
        <v>82384</v>
      </c>
      <c r="E924" s="1">
        <v>3</v>
      </c>
    </row>
    <row r="925" spans="1:5" ht="14.25" customHeight="1" x14ac:dyDescent="0.25">
      <c r="A925" s="1" t="s">
        <v>51</v>
      </c>
      <c r="B925" s="1" t="s">
        <v>96</v>
      </c>
      <c r="C925" s="1" t="s">
        <v>440</v>
      </c>
      <c r="D925" s="1">
        <v>92386</v>
      </c>
      <c r="E925" s="1">
        <v>3</v>
      </c>
    </row>
    <row r="926" spans="1:5" ht="14.25" customHeight="1" x14ac:dyDescent="0.25">
      <c r="A926" s="1" t="s">
        <v>31</v>
      </c>
      <c r="B926" s="1" t="s">
        <v>242</v>
      </c>
      <c r="C926" s="1" t="s">
        <v>440</v>
      </c>
      <c r="D926" s="1">
        <v>81193</v>
      </c>
      <c r="E926" s="1">
        <v>8</v>
      </c>
    </row>
    <row r="927" spans="1:5" ht="14.25" customHeight="1" x14ac:dyDescent="0.25">
      <c r="A927" s="1" t="s">
        <v>10</v>
      </c>
      <c r="B927" s="1" t="s">
        <v>62</v>
      </c>
      <c r="C927" s="1" t="s">
        <v>441</v>
      </c>
      <c r="D927" s="1">
        <v>18399</v>
      </c>
      <c r="E927" s="1">
        <v>9</v>
      </c>
    </row>
    <row r="928" spans="1:5" ht="14.25" customHeight="1" x14ac:dyDescent="0.25">
      <c r="A928" s="1" t="s">
        <v>13</v>
      </c>
      <c r="B928" s="1" t="s">
        <v>169</v>
      </c>
      <c r="C928" s="1" t="s">
        <v>441</v>
      </c>
      <c r="D928" s="1">
        <v>13496</v>
      </c>
      <c r="E928" s="1">
        <v>6</v>
      </c>
    </row>
    <row r="929" spans="1:5" ht="14.25" customHeight="1" x14ac:dyDescent="0.25">
      <c r="A929" s="1" t="s">
        <v>23</v>
      </c>
      <c r="B929" s="1" t="s">
        <v>242</v>
      </c>
      <c r="C929" s="1" t="s">
        <v>441</v>
      </c>
      <c r="D929" s="1">
        <v>10762</v>
      </c>
      <c r="E929" s="1">
        <v>4</v>
      </c>
    </row>
    <row r="930" spans="1:5" ht="14.25" customHeight="1" x14ac:dyDescent="0.25">
      <c r="A930" s="1" t="s">
        <v>51</v>
      </c>
      <c r="B930" s="1" t="s">
        <v>109</v>
      </c>
      <c r="C930" s="1" t="s">
        <v>441</v>
      </c>
      <c r="D930" s="1">
        <v>16518</v>
      </c>
      <c r="E930" s="1">
        <v>3</v>
      </c>
    </row>
    <row r="931" spans="1:5" ht="14.25" customHeight="1" x14ac:dyDescent="0.25">
      <c r="A931" s="1" t="s">
        <v>15</v>
      </c>
      <c r="B931" s="1" t="s">
        <v>140</v>
      </c>
      <c r="C931" s="1" t="s">
        <v>441</v>
      </c>
      <c r="D931" s="1">
        <v>98614</v>
      </c>
      <c r="E931" s="1">
        <v>6</v>
      </c>
    </row>
    <row r="932" spans="1:5" ht="14.25" customHeight="1" x14ac:dyDescent="0.25">
      <c r="A932" s="1" t="s">
        <v>40</v>
      </c>
      <c r="B932" s="1" t="s">
        <v>85</v>
      </c>
      <c r="C932" s="1" t="s">
        <v>441</v>
      </c>
      <c r="D932" s="1">
        <v>16916</v>
      </c>
      <c r="E932" s="1">
        <v>8</v>
      </c>
    </row>
    <row r="933" spans="1:5" ht="14.25" customHeight="1" x14ac:dyDescent="0.25">
      <c r="A933" s="1" t="s">
        <v>27</v>
      </c>
      <c r="B933" s="1" t="s">
        <v>62</v>
      </c>
      <c r="C933" s="1" t="s">
        <v>441</v>
      </c>
      <c r="D933" s="1">
        <v>87033</v>
      </c>
      <c r="E933" s="1">
        <v>7</v>
      </c>
    </row>
    <row r="934" spans="1:5" ht="14.25" customHeight="1" x14ac:dyDescent="0.25">
      <c r="A934" s="1" t="s">
        <v>15</v>
      </c>
      <c r="B934" s="1" t="s">
        <v>69</v>
      </c>
      <c r="C934" s="1" t="s">
        <v>442</v>
      </c>
      <c r="D934" s="1">
        <v>59579</v>
      </c>
      <c r="E934" s="1">
        <v>4</v>
      </c>
    </row>
    <row r="935" spans="1:5" ht="14.25" customHeight="1" x14ac:dyDescent="0.25">
      <c r="A935" s="1" t="s">
        <v>27</v>
      </c>
      <c r="B935" s="1" t="s">
        <v>146</v>
      </c>
      <c r="C935" s="1" t="s">
        <v>442</v>
      </c>
      <c r="D935" s="1">
        <v>80988</v>
      </c>
      <c r="E935" s="1">
        <v>0</v>
      </c>
    </row>
    <row r="936" spans="1:5" ht="14.25" customHeight="1" x14ac:dyDescent="0.25">
      <c r="A936" s="1" t="s">
        <v>66</v>
      </c>
      <c r="B936" s="1" t="s">
        <v>278</v>
      </c>
      <c r="C936" s="1" t="s">
        <v>443</v>
      </c>
      <c r="D936" s="1">
        <v>60873</v>
      </c>
      <c r="E936" s="1">
        <v>5</v>
      </c>
    </row>
    <row r="937" spans="1:5" ht="14.25" customHeight="1" x14ac:dyDescent="0.25">
      <c r="A937" s="1" t="s">
        <v>5</v>
      </c>
      <c r="B937" s="1" t="s">
        <v>45</v>
      </c>
      <c r="C937" s="1" t="s">
        <v>443</v>
      </c>
      <c r="D937" s="1">
        <v>35724</v>
      </c>
      <c r="E937" s="1">
        <v>8</v>
      </c>
    </row>
    <row r="938" spans="1:5" ht="14.25" customHeight="1" x14ac:dyDescent="0.25">
      <c r="A938" s="1" t="s">
        <v>31</v>
      </c>
      <c r="B938" s="1" t="s">
        <v>123</v>
      </c>
      <c r="C938" s="1" t="s">
        <v>443</v>
      </c>
      <c r="D938" s="1">
        <v>72448</v>
      </c>
      <c r="E938" s="1">
        <v>10</v>
      </c>
    </row>
    <row r="939" spans="1:5" ht="14.25" customHeight="1" x14ac:dyDescent="0.25">
      <c r="A939" s="1" t="s">
        <v>23</v>
      </c>
      <c r="B939" s="1" t="s">
        <v>122</v>
      </c>
      <c r="C939" s="1" t="s">
        <v>444</v>
      </c>
      <c r="D939" s="1">
        <v>12253</v>
      </c>
      <c r="E939" s="1">
        <v>7</v>
      </c>
    </row>
    <row r="940" spans="1:5" ht="14.25" customHeight="1" x14ac:dyDescent="0.25">
      <c r="A940" s="1" t="s">
        <v>10</v>
      </c>
      <c r="B940" s="1" t="s">
        <v>45</v>
      </c>
      <c r="C940" s="1" t="s">
        <v>444</v>
      </c>
      <c r="D940" s="1">
        <v>66232</v>
      </c>
      <c r="E940" s="1">
        <v>8</v>
      </c>
    </row>
    <row r="941" spans="1:5" ht="14.25" customHeight="1" x14ac:dyDescent="0.25">
      <c r="A941" s="1" t="s">
        <v>27</v>
      </c>
      <c r="B941" s="1" t="s">
        <v>249</v>
      </c>
      <c r="C941" s="1" t="s">
        <v>444</v>
      </c>
      <c r="D941" s="1">
        <v>55230</v>
      </c>
      <c r="E941" s="1">
        <v>4</v>
      </c>
    </row>
    <row r="942" spans="1:5" ht="14.25" customHeight="1" x14ac:dyDescent="0.25">
      <c r="A942" s="1" t="s">
        <v>40</v>
      </c>
      <c r="B942" s="1" t="s">
        <v>299</v>
      </c>
      <c r="C942" s="1" t="s">
        <v>445</v>
      </c>
      <c r="D942" s="1">
        <v>19467</v>
      </c>
      <c r="E942" s="1">
        <v>9</v>
      </c>
    </row>
    <row r="943" spans="1:5" ht="14.25" customHeight="1" x14ac:dyDescent="0.25">
      <c r="A943" s="1" t="s">
        <v>10</v>
      </c>
      <c r="B943" s="1" t="s">
        <v>152</v>
      </c>
      <c r="C943" s="1" t="s">
        <v>446</v>
      </c>
      <c r="D943" s="1">
        <v>96144</v>
      </c>
      <c r="E943" s="1">
        <v>3</v>
      </c>
    </row>
    <row r="944" spans="1:5" ht="14.25" customHeight="1" x14ac:dyDescent="0.25">
      <c r="A944" s="1" t="s">
        <v>23</v>
      </c>
      <c r="B944" s="1" t="s">
        <v>193</v>
      </c>
      <c r="C944" s="1" t="s">
        <v>446</v>
      </c>
      <c r="D944" s="1">
        <v>77887</v>
      </c>
      <c r="E944" s="1">
        <v>10</v>
      </c>
    </row>
    <row r="945" spans="1:5" ht="14.25" customHeight="1" x14ac:dyDescent="0.25">
      <c r="A945" s="1" t="s">
        <v>31</v>
      </c>
      <c r="B945" s="1" t="s">
        <v>49</v>
      </c>
      <c r="C945" s="1" t="s">
        <v>446</v>
      </c>
      <c r="D945" s="1">
        <v>55583</v>
      </c>
      <c r="E945" s="1">
        <v>6</v>
      </c>
    </row>
    <row r="946" spans="1:5" ht="14.25" customHeight="1" x14ac:dyDescent="0.25">
      <c r="A946" s="1" t="s">
        <v>23</v>
      </c>
      <c r="B946" s="1" t="s">
        <v>21</v>
      </c>
      <c r="C946" s="1" t="s">
        <v>446</v>
      </c>
      <c r="D946" s="1">
        <v>79637</v>
      </c>
      <c r="E946" s="1">
        <v>7</v>
      </c>
    </row>
    <row r="947" spans="1:5" ht="14.25" customHeight="1" x14ac:dyDescent="0.25">
      <c r="A947" s="1" t="s">
        <v>23</v>
      </c>
      <c r="B947" s="1" t="s">
        <v>67</v>
      </c>
      <c r="C947" s="1" t="s">
        <v>446</v>
      </c>
      <c r="D947" s="1">
        <v>18626</v>
      </c>
      <c r="E947" s="1">
        <v>5</v>
      </c>
    </row>
    <row r="948" spans="1:5" ht="14.25" customHeight="1" x14ac:dyDescent="0.25">
      <c r="A948" s="1" t="s">
        <v>40</v>
      </c>
      <c r="B948" s="1" t="s">
        <v>41</v>
      </c>
      <c r="C948" s="1" t="s">
        <v>446</v>
      </c>
      <c r="D948" s="1">
        <v>83186</v>
      </c>
      <c r="E948" s="1">
        <v>5</v>
      </c>
    </row>
    <row r="949" spans="1:5" ht="14.25" customHeight="1" x14ac:dyDescent="0.25">
      <c r="A949" s="1" t="s">
        <v>27</v>
      </c>
      <c r="B949" s="1" t="s">
        <v>92</v>
      </c>
      <c r="C949" s="1" t="s">
        <v>446</v>
      </c>
      <c r="D949" s="1">
        <v>99721</v>
      </c>
      <c r="E949" s="1">
        <v>6</v>
      </c>
    </row>
    <row r="950" spans="1:5" ht="14.25" customHeight="1" x14ac:dyDescent="0.25">
      <c r="A950" s="1" t="s">
        <v>5</v>
      </c>
      <c r="B950" s="1" t="s">
        <v>92</v>
      </c>
      <c r="C950" s="1" t="s">
        <v>447</v>
      </c>
      <c r="D950" s="1">
        <v>60047</v>
      </c>
      <c r="E950" s="1">
        <v>1</v>
      </c>
    </row>
    <row r="951" spans="1:5" ht="14.25" customHeight="1" x14ac:dyDescent="0.25">
      <c r="A951" s="1" t="s">
        <v>5</v>
      </c>
      <c r="B951" s="1" t="s">
        <v>139</v>
      </c>
      <c r="C951" s="1" t="s">
        <v>447</v>
      </c>
      <c r="D951" s="1">
        <v>15167</v>
      </c>
      <c r="E951" s="1">
        <v>5</v>
      </c>
    </row>
    <row r="952" spans="1:5" ht="14.25" customHeight="1" x14ac:dyDescent="0.25">
      <c r="A952" s="1" t="s">
        <v>51</v>
      </c>
      <c r="B952" s="1" t="s">
        <v>36</v>
      </c>
      <c r="C952" s="1" t="s">
        <v>447</v>
      </c>
      <c r="D952" s="1">
        <v>36773</v>
      </c>
      <c r="E952" s="1">
        <v>6</v>
      </c>
    </row>
    <row r="953" spans="1:5" ht="14.25" customHeight="1" x14ac:dyDescent="0.25">
      <c r="A953" s="1" t="s">
        <v>31</v>
      </c>
      <c r="B953" s="1" t="s">
        <v>229</v>
      </c>
      <c r="C953" s="1" t="s">
        <v>448</v>
      </c>
      <c r="D953" s="1">
        <v>40219</v>
      </c>
      <c r="E953" s="1">
        <v>3</v>
      </c>
    </row>
    <row r="954" spans="1:5" ht="14.25" customHeight="1" x14ac:dyDescent="0.25">
      <c r="A954" s="1" t="s">
        <v>27</v>
      </c>
      <c r="B954" s="1" t="s">
        <v>318</v>
      </c>
      <c r="C954" s="1" t="s">
        <v>448</v>
      </c>
      <c r="D954" s="1">
        <v>88538</v>
      </c>
      <c r="E954" s="1">
        <v>6</v>
      </c>
    </row>
    <row r="955" spans="1:5" ht="14.25" customHeight="1" x14ac:dyDescent="0.25">
      <c r="A955" s="1" t="s">
        <v>66</v>
      </c>
      <c r="B955" s="1" t="s">
        <v>146</v>
      </c>
      <c r="C955" s="1" t="s">
        <v>448</v>
      </c>
      <c r="D955" s="1">
        <v>21335</v>
      </c>
      <c r="E955" s="1">
        <v>8</v>
      </c>
    </row>
    <row r="956" spans="1:5" ht="14.25" customHeight="1" x14ac:dyDescent="0.25">
      <c r="A956" s="1" t="s">
        <v>76</v>
      </c>
      <c r="B956" s="1" t="s">
        <v>449</v>
      </c>
      <c r="C956" s="1" t="s">
        <v>450</v>
      </c>
      <c r="D956" s="1">
        <v>93315</v>
      </c>
      <c r="E956" s="1">
        <v>7</v>
      </c>
    </row>
    <row r="957" spans="1:5" ht="14.25" customHeight="1" x14ac:dyDescent="0.25">
      <c r="A957" s="1" t="s">
        <v>66</v>
      </c>
      <c r="B957" s="1" t="s">
        <v>451</v>
      </c>
      <c r="C957" s="1" t="s">
        <v>450</v>
      </c>
      <c r="D957" s="1">
        <v>18759</v>
      </c>
      <c r="E957" s="1">
        <v>10</v>
      </c>
    </row>
    <row r="958" spans="1:5" ht="14.25" customHeight="1" x14ac:dyDescent="0.25">
      <c r="A958" s="1" t="s">
        <v>13</v>
      </c>
      <c r="B958" s="1" t="s">
        <v>349</v>
      </c>
      <c r="C958" s="1" t="s">
        <v>450</v>
      </c>
      <c r="D958" s="1">
        <v>26998</v>
      </c>
      <c r="E958" s="1">
        <v>4</v>
      </c>
    </row>
    <row r="959" spans="1:5" ht="14.25" customHeight="1" x14ac:dyDescent="0.25">
      <c r="A959" s="1" t="s">
        <v>51</v>
      </c>
      <c r="B959" s="1" t="s">
        <v>119</v>
      </c>
      <c r="C959" s="1" t="s">
        <v>452</v>
      </c>
      <c r="D959" s="1">
        <v>13708</v>
      </c>
      <c r="E959" s="1">
        <v>7</v>
      </c>
    </row>
    <row r="960" spans="1:5" ht="14.25" customHeight="1" x14ac:dyDescent="0.25">
      <c r="A960" s="1" t="s">
        <v>8</v>
      </c>
      <c r="B960" s="1" t="s">
        <v>144</v>
      </c>
      <c r="C960" s="1" t="s">
        <v>452</v>
      </c>
      <c r="D960" s="1">
        <v>91931</v>
      </c>
      <c r="E960" s="1">
        <v>2</v>
      </c>
    </row>
    <row r="961" spans="1:5" ht="14.25" customHeight="1" x14ac:dyDescent="0.25">
      <c r="A961" s="1" t="s">
        <v>15</v>
      </c>
      <c r="B961" s="1" t="s">
        <v>146</v>
      </c>
      <c r="C961" s="1" t="s">
        <v>452</v>
      </c>
      <c r="D961" s="1">
        <v>16328</v>
      </c>
      <c r="E961" s="1">
        <v>5</v>
      </c>
    </row>
    <row r="962" spans="1:5" ht="14.25" customHeight="1" x14ac:dyDescent="0.25">
      <c r="A962" s="1" t="s">
        <v>27</v>
      </c>
      <c r="B962" s="1" t="s">
        <v>64</v>
      </c>
      <c r="C962" s="1" t="s">
        <v>453</v>
      </c>
      <c r="D962" s="1">
        <v>30122</v>
      </c>
      <c r="E962" s="1">
        <v>4</v>
      </c>
    </row>
    <row r="963" spans="1:5" ht="14.25" customHeight="1" x14ac:dyDescent="0.25">
      <c r="A963" s="1" t="s">
        <v>66</v>
      </c>
      <c r="B963" s="1" t="s">
        <v>72</v>
      </c>
      <c r="C963" s="1" t="s">
        <v>453</v>
      </c>
      <c r="D963" s="1">
        <v>58888</v>
      </c>
      <c r="E963" s="1">
        <v>9</v>
      </c>
    </row>
    <row r="964" spans="1:5" ht="14.25" customHeight="1" x14ac:dyDescent="0.25">
      <c r="A964" s="1" t="s">
        <v>10</v>
      </c>
      <c r="B964" s="1" t="s">
        <v>181</v>
      </c>
      <c r="C964" s="1" t="s">
        <v>453</v>
      </c>
      <c r="D964" s="1">
        <v>23026</v>
      </c>
      <c r="E964" s="1">
        <v>9</v>
      </c>
    </row>
    <row r="965" spans="1:5" ht="14.25" customHeight="1" x14ac:dyDescent="0.25">
      <c r="A965" s="1" t="s">
        <v>51</v>
      </c>
      <c r="B965" s="1" t="s">
        <v>202</v>
      </c>
      <c r="C965" s="1" t="s">
        <v>453</v>
      </c>
      <c r="D965" s="1">
        <v>50964</v>
      </c>
      <c r="E965" s="1">
        <v>8</v>
      </c>
    </row>
    <row r="966" spans="1:5" ht="14.25" customHeight="1" x14ac:dyDescent="0.25">
      <c r="A966" s="1" t="s">
        <v>27</v>
      </c>
      <c r="B966" s="1" t="s">
        <v>252</v>
      </c>
      <c r="C966" s="1" t="s">
        <v>453</v>
      </c>
      <c r="D966" s="1">
        <v>25653</v>
      </c>
      <c r="E966" s="1">
        <v>5</v>
      </c>
    </row>
    <row r="967" spans="1:5" ht="14.25" customHeight="1" x14ac:dyDescent="0.25">
      <c r="A967" s="1" t="s">
        <v>15</v>
      </c>
      <c r="B967" s="1" t="s">
        <v>119</v>
      </c>
      <c r="C967" s="1" t="s">
        <v>453</v>
      </c>
      <c r="D967" s="1">
        <v>87577</v>
      </c>
      <c r="E967" s="1">
        <v>8</v>
      </c>
    </row>
    <row r="968" spans="1:5" ht="14.25" customHeight="1" x14ac:dyDescent="0.25">
      <c r="A968" s="1" t="s">
        <v>15</v>
      </c>
      <c r="B968" s="1" t="s">
        <v>221</v>
      </c>
      <c r="C968" s="1" t="s">
        <v>453</v>
      </c>
      <c r="D968" s="1">
        <v>16734</v>
      </c>
      <c r="E968" s="1">
        <v>9</v>
      </c>
    </row>
    <row r="969" spans="1:5" ht="14.25" customHeight="1" x14ac:dyDescent="0.25">
      <c r="A969" s="1" t="s">
        <v>23</v>
      </c>
      <c r="B969" s="1" t="s">
        <v>213</v>
      </c>
      <c r="C969" s="1" t="s">
        <v>453</v>
      </c>
      <c r="D969" s="1">
        <v>37873</v>
      </c>
      <c r="E969" s="1">
        <v>7</v>
      </c>
    </row>
    <row r="970" spans="1:5" ht="14.25" customHeight="1" x14ac:dyDescent="0.25">
      <c r="A970" s="1" t="s">
        <v>51</v>
      </c>
      <c r="B970" s="1" t="s">
        <v>33</v>
      </c>
      <c r="C970" s="1" t="s">
        <v>453</v>
      </c>
      <c r="D970" s="1">
        <v>46368</v>
      </c>
      <c r="E970" s="1">
        <v>9</v>
      </c>
    </row>
    <row r="971" spans="1:5" ht="14.25" customHeight="1" x14ac:dyDescent="0.25">
      <c r="A971" s="1" t="s">
        <v>10</v>
      </c>
      <c r="B971" s="1" t="s">
        <v>99</v>
      </c>
      <c r="C971" s="1" t="s">
        <v>454</v>
      </c>
      <c r="D971" s="1">
        <v>82193</v>
      </c>
      <c r="E971" s="1">
        <v>8</v>
      </c>
    </row>
    <row r="972" spans="1:5" ht="14.25" customHeight="1" x14ac:dyDescent="0.25">
      <c r="A972" s="1" t="s">
        <v>5</v>
      </c>
      <c r="B972" s="1" t="s">
        <v>122</v>
      </c>
      <c r="C972" s="1" t="s">
        <v>454</v>
      </c>
      <c r="D972" s="1">
        <v>36807</v>
      </c>
      <c r="E972" s="1">
        <v>8</v>
      </c>
    </row>
    <row r="973" spans="1:5" ht="14.25" customHeight="1" x14ac:dyDescent="0.25">
      <c r="A973" s="1" t="s">
        <v>31</v>
      </c>
      <c r="B973" s="1" t="s">
        <v>109</v>
      </c>
      <c r="C973" s="1" t="s">
        <v>455</v>
      </c>
      <c r="D973" s="1">
        <v>36173</v>
      </c>
      <c r="E973" s="1">
        <v>4</v>
      </c>
    </row>
    <row r="974" spans="1:5" ht="14.25" customHeight="1" x14ac:dyDescent="0.25">
      <c r="A974" s="1" t="s">
        <v>8</v>
      </c>
      <c r="B974" s="1" t="s">
        <v>116</v>
      </c>
      <c r="C974" s="1" t="s">
        <v>456</v>
      </c>
      <c r="D974" s="1">
        <v>14449</v>
      </c>
      <c r="E974" s="1">
        <v>8</v>
      </c>
    </row>
    <row r="975" spans="1:5" ht="14.25" customHeight="1" x14ac:dyDescent="0.25">
      <c r="A975" s="1" t="s">
        <v>31</v>
      </c>
      <c r="B975" s="1" t="s">
        <v>140</v>
      </c>
      <c r="C975" s="1" t="s">
        <v>456</v>
      </c>
      <c r="D975" s="1">
        <v>11568</v>
      </c>
      <c r="E975" s="1">
        <v>5</v>
      </c>
    </row>
    <row r="976" spans="1:5" ht="14.25" customHeight="1" x14ac:dyDescent="0.25">
      <c r="A976" s="1" t="s">
        <v>76</v>
      </c>
      <c r="B976" s="1" t="s">
        <v>36</v>
      </c>
      <c r="C976" s="1" t="s">
        <v>457</v>
      </c>
      <c r="D976" s="1">
        <v>23405</v>
      </c>
      <c r="E976" s="1">
        <v>8</v>
      </c>
    </row>
    <row r="977" spans="1:5" ht="14.25" customHeight="1" x14ac:dyDescent="0.25">
      <c r="A977" s="1" t="s">
        <v>13</v>
      </c>
      <c r="B977" s="1" t="s">
        <v>49</v>
      </c>
      <c r="C977" s="1" t="s">
        <v>457</v>
      </c>
      <c r="D977" s="1">
        <v>11302</v>
      </c>
      <c r="E977" s="1">
        <v>7</v>
      </c>
    </row>
    <row r="978" spans="1:5" ht="14.25" customHeight="1" x14ac:dyDescent="0.25">
      <c r="A978" s="1" t="s">
        <v>23</v>
      </c>
      <c r="B978" s="1" t="s">
        <v>70</v>
      </c>
      <c r="C978" s="1" t="s">
        <v>457</v>
      </c>
      <c r="D978" s="1">
        <v>69089</v>
      </c>
      <c r="E978" s="1">
        <v>6</v>
      </c>
    </row>
    <row r="979" spans="1:5" ht="14.25" customHeight="1" x14ac:dyDescent="0.25">
      <c r="A979" s="1" t="s">
        <v>5</v>
      </c>
      <c r="B979" s="1" t="s">
        <v>179</v>
      </c>
      <c r="C979" s="1" t="s">
        <v>458</v>
      </c>
      <c r="D979" s="1">
        <v>68180</v>
      </c>
      <c r="E979" s="1">
        <v>4</v>
      </c>
    </row>
    <row r="980" spans="1:5" ht="14.25" customHeight="1" x14ac:dyDescent="0.25">
      <c r="A980" s="1" t="s">
        <v>31</v>
      </c>
      <c r="B980" s="1" t="s">
        <v>237</v>
      </c>
      <c r="C980" s="1" t="s">
        <v>458</v>
      </c>
      <c r="D980" s="1">
        <v>58175</v>
      </c>
      <c r="E980" s="1">
        <v>7</v>
      </c>
    </row>
    <row r="981" spans="1:5" ht="14.25" customHeight="1" x14ac:dyDescent="0.25">
      <c r="A981" s="1" t="s">
        <v>23</v>
      </c>
      <c r="B981" s="1" t="s">
        <v>143</v>
      </c>
      <c r="C981" s="1" t="s">
        <v>458</v>
      </c>
      <c r="D981" s="1">
        <v>44235</v>
      </c>
      <c r="E981" s="1">
        <v>7</v>
      </c>
    </row>
    <row r="982" spans="1:5" ht="14.25" customHeight="1" x14ac:dyDescent="0.25">
      <c r="A982" s="1" t="s">
        <v>15</v>
      </c>
      <c r="B982" s="1" t="s">
        <v>284</v>
      </c>
      <c r="C982" s="1" t="s">
        <v>458</v>
      </c>
      <c r="D982" s="1">
        <v>12445</v>
      </c>
      <c r="E982" s="1">
        <v>6</v>
      </c>
    </row>
    <row r="983" spans="1:5" ht="14.25" customHeight="1" x14ac:dyDescent="0.25">
      <c r="A983" s="1" t="s">
        <v>5</v>
      </c>
      <c r="B983" s="1" t="s">
        <v>283</v>
      </c>
      <c r="C983" s="1" t="s">
        <v>458</v>
      </c>
      <c r="D983" s="1">
        <v>50521</v>
      </c>
      <c r="E983" s="1">
        <v>7</v>
      </c>
    </row>
    <row r="984" spans="1:5" ht="14.25" customHeight="1" x14ac:dyDescent="0.25">
      <c r="A984" s="1" t="s">
        <v>15</v>
      </c>
      <c r="B984" s="1" t="s">
        <v>198</v>
      </c>
      <c r="C984" s="1" t="s">
        <v>458</v>
      </c>
      <c r="D984" s="1">
        <v>45171</v>
      </c>
      <c r="E984" s="1">
        <v>9</v>
      </c>
    </row>
    <row r="985" spans="1:5" ht="14.25" customHeight="1" x14ac:dyDescent="0.25">
      <c r="A985" s="1" t="s">
        <v>5</v>
      </c>
      <c r="B985" s="1" t="s">
        <v>99</v>
      </c>
      <c r="C985" s="1" t="s">
        <v>458</v>
      </c>
      <c r="D985" s="1">
        <v>26483</v>
      </c>
      <c r="E985" s="1">
        <v>9</v>
      </c>
    </row>
    <row r="986" spans="1:5" ht="14.25" customHeight="1" x14ac:dyDescent="0.25">
      <c r="A986" s="1" t="s">
        <v>27</v>
      </c>
      <c r="B986" s="1" t="s">
        <v>129</v>
      </c>
      <c r="C986" s="1" t="s">
        <v>458</v>
      </c>
      <c r="D986" s="1">
        <v>78848</v>
      </c>
      <c r="E986" s="1">
        <v>7</v>
      </c>
    </row>
    <row r="987" spans="1:5" ht="14.25" customHeight="1" x14ac:dyDescent="0.25">
      <c r="A987" s="1" t="s">
        <v>8</v>
      </c>
      <c r="B987" s="1" t="s">
        <v>301</v>
      </c>
      <c r="C987" s="1" t="s">
        <v>458</v>
      </c>
      <c r="D987" s="1">
        <v>96364</v>
      </c>
      <c r="E987" s="1">
        <v>7</v>
      </c>
    </row>
    <row r="988" spans="1:5" ht="14.25" customHeight="1" x14ac:dyDescent="0.25">
      <c r="A988" s="1" t="s">
        <v>31</v>
      </c>
      <c r="B988" s="1" t="s">
        <v>50</v>
      </c>
      <c r="C988" s="1" t="s">
        <v>459</v>
      </c>
      <c r="D988" s="1">
        <v>51892</v>
      </c>
      <c r="E988" s="1">
        <v>8</v>
      </c>
    </row>
    <row r="989" spans="1:5" ht="14.25" customHeight="1" x14ac:dyDescent="0.25">
      <c r="A989" s="1" t="s">
        <v>40</v>
      </c>
      <c r="B989" s="1" t="s">
        <v>52</v>
      </c>
      <c r="C989" s="1" t="s">
        <v>459</v>
      </c>
      <c r="D989" s="1">
        <v>30744</v>
      </c>
      <c r="E989" s="1">
        <v>6</v>
      </c>
    </row>
    <row r="990" spans="1:5" ht="14.25" customHeight="1" x14ac:dyDescent="0.25">
      <c r="A990" s="1" t="s">
        <v>13</v>
      </c>
      <c r="B990" s="1" t="s">
        <v>113</v>
      </c>
      <c r="C990" s="1" t="s">
        <v>459</v>
      </c>
      <c r="D990" s="1">
        <v>41722</v>
      </c>
      <c r="E990" s="1">
        <v>7</v>
      </c>
    </row>
    <row r="991" spans="1:5" ht="14.25" customHeight="1" x14ac:dyDescent="0.25">
      <c r="A991" s="1" t="s">
        <v>27</v>
      </c>
      <c r="B991" s="1" t="s">
        <v>100</v>
      </c>
      <c r="C991" s="1" t="s">
        <v>459</v>
      </c>
      <c r="D991" s="1">
        <v>24999</v>
      </c>
      <c r="E991" s="1">
        <v>6</v>
      </c>
    </row>
    <row r="992" spans="1:5" ht="14.25" customHeight="1" x14ac:dyDescent="0.25">
      <c r="A992" s="1" t="s">
        <v>66</v>
      </c>
      <c r="B992" s="1" t="s">
        <v>160</v>
      </c>
      <c r="C992" s="1" t="s">
        <v>460</v>
      </c>
      <c r="D992" s="1">
        <v>60786</v>
      </c>
      <c r="E992" s="1">
        <v>6</v>
      </c>
    </row>
    <row r="993" spans="1:5" ht="14.25" customHeight="1" x14ac:dyDescent="0.25">
      <c r="A993" s="1" t="s">
        <v>5</v>
      </c>
      <c r="B993" s="1" t="s">
        <v>318</v>
      </c>
      <c r="C993" s="1" t="s">
        <v>460</v>
      </c>
      <c r="D993" s="1">
        <v>12195</v>
      </c>
      <c r="E993" s="1">
        <v>4</v>
      </c>
    </row>
    <row r="994" spans="1:5" ht="14.25" customHeight="1" x14ac:dyDescent="0.25">
      <c r="A994" s="1" t="s">
        <v>5</v>
      </c>
      <c r="B994" s="1" t="s">
        <v>449</v>
      </c>
      <c r="C994" s="1" t="s">
        <v>460</v>
      </c>
      <c r="D994" s="1">
        <v>18821</v>
      </c>
      <c r="E994" s="1">
        <v>5</v>
      </c>
    </row>
    <row r="995" spans="1:5" ht="14.25" customHeight="1" x14ac:dyDescent="0.25">
      <c r="A995" s="1" t="s">
        <v>13</v>
      </c>
      <c r="B995" s="1" t="s">
        <v>148</v>
      </c>
      <c r="C995" s="1" t="s">
        <v>461</v>
      </c>
      <c r="D995" s="1">
        <v>44218</v>
      </c>
      <c r="E995" s="1">
        <v>7</v>
      </c>
    </row>
    <row r="996" spans="1:5" ht="14.25" customHeight="1" x14ac:dyDescent="0.25">
      <c r="A996" s="1" t="s">
        <v>13</v>
      </c>
      <c r="B996" s="1" t="s">
        <v>216</v>
      </c>
      <c r="C996" s="1" t="s">
        <v>461</v>
      </c>
      <c r="D996" s="1">
        <v>29545</v>
      </c>
      <c r="E996" s="1">
        <v>4</v>
      </c>
    </row>
    <row r="997" spans="1:5" ht="14.25" customHeight="1" x14ac:dyDescent="0.25">
      <c r="A997" s="1" t="s">
        <v>27</v>
      </c>
      <c r="B997" s="1" t="s">
        <v>221</v>
      </c>
      <c r="C997" s="1" t="s">
        <v>462</v>
      </c>
      <c r="D997" s="1">
        <v>12715</v>
      </c>
      <c r="E997" s="1">
        <v>7</v>
      </c>
    </row>
    <row r="998" spans="1:5" ht="14.25" customHeight="1" x14ac:dyDescent="0.25">
      <c r="A998" s="1" t="s">
        <v>76</v>
      </c>
      <c r="B998" s="1" t="s">
        <v>28</v>
      </c>
      <c r="C998" s="1" t="s">
        <v>462</v>
      </c>
      <c r="D998" s="1">
        <v>52808</v>
      </c>
      <c r="E998" s="1">
        <v>4</v>
      </c>
    </row>
    <row r="999" spans="1:5" ht="14.25" customHeight="1" x14ac:dyDescent="0.25">
      <c r="A999" s="1" t="s">
        <v>23</v>
      </c>
      <c r="B999" s="1" t="s">
        <v>60</v>
      </c>
      <c r="C999" s="1" t="s">
        <v>462</v>
      </c>
      <c r="D999" s="1">
        <v>42666</v>
      </c>
      <c r="E999" s="1">
        <v>7</v>
      </c>
    </row>
    <row r="1000" spans="1:5" ht="14.25" customHeight="1" x14ac:dyDescent="0.25">
      <c r="A1000" s="1" t="s">
        <v>76</v>
      </c>
      <c r="B1000" s="1" t="s">
        <v>80</v>
      </c>
      <c r="C1000" s="1" t="s">
        <v>463</v>
      </c>
      <c r="D1000" s="1">
        <v>82269</v>
      </c>
      <c r="E1000" s="1">
        <v>7</v>
      </c>
    </row>
    <row r="1001" spans="1:5" ht="14.25" customHeight="1" x14ac:dyDescent="0.25">
      <c r="A1001" s="1" t="s">
        <v>76</v>
      </c>
      <c r="B1001" s="1" t="s">
        <v>77</v>
      </c>
      <c r="C1001" s="1" t="s">
        <v>463</v>
      </c>
      <c r="D1001" s="1">
        <v>31497</v>
      </c>
      <c r="E1001" s="1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19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7109375" defaultRowHeight="14.25" customHeight="1" x14ac:dyDescent="0.25"/>
  <cols>
    <col min="1" max="1" width="7.42578125" style="1" customWidth="1"/>
    <col min="2" max="2" width="43.28515625" style="1" customWidth="1"/>
    <col min="3" max="4" width="12.5703125" style="1" customWidth="1"/>
    <col min="6" max="7" width="13" style="1" hidden="1" customWidth="1"/>
  </cols>
  <sheetData>
    <row r="7" spans="1:7" ht="42.75" customHeight="1" x14ac:dyDescent="0.25">
      <c r="B7" s="3" t="s">
        <v>464</v>
      </c>
      <c r="C7" s="4" t="s">
        <v>465</v>
      </c>
      <c r="D7" s="4" t="s">
        <v>466</v>
      </c>
      <c r="F7" s="1" t="s">
        <v>467</v>
      </c>
      <c r="G7" s="1" t="s">
        <v>468</v>
      </c>
    </row>
    <row r="8" spans="1:7" ht="14.25" customHeight="1" x14ac:dyDescent="0.25">
      <c r="A8" s="1">
        <v>1</v>
      </c>
      <c r="B8" s="5" t="s">
        <v>13</v>
      </c>
      <c r="C8" s="5" t="str">
        <f t="shared" ref="C8:C19" si="0">IF(SUMPRODUCT(($F$8:$F$19&gt;=F8)*$F$8:$F$19)/SUM($F$8:$F$19)&lt;=80%,"A",IF(SUMPRODUCT(($F$8:$F$19&gt;=F8)*$F$8:$F$19)/SUM($F$8:$F$19)&lt;=95%,"B","C"))</f>
        <v>A</v>
      </c>
      <c r="D8" s="5" t="str">
        <f t="shared" ref="D8:D19" si="1">IF(SUMPRODUCT(($G$8:$G$19&gt;=G8)*$G$8:$G$19)/SUM($G$8:$G$19)&lt;=80%,"A",IF(SUMPRODUCT(($G$8:$G$19&gt;=G8)*$G$8:$G$19)/SUM($G$8:$G$19)&lt;=95%,"B","C"))</f>
        <v>A</v>
      </c>
      <c r="F8" s="1">
        <f>SUMIF(Данные!$A$2:$A$1001,B8,Данные!$D$2:$D$1001)</f>
        <v>5578782</v>
      </c>
      <c r="G8" s="1">
        <f>COUNTIF(Данные!$A$2:$A$1001,B8)</f>
        <v>101</v>
      </c>
    </row>
    <row r="9" spans="1:7" ht="14.25" customHeight="1" x14ac:dyDescent="0.25">
      <c r="A9" s="1">
        <v>2</v>
      </c>
      <c r="B9" s="5" t="s">
        <v>23</v>
      </c>
      <c r="C9" s="5" t="str">
        <f t="shared" si="0"/>
        <v>A</v>
      </c>
      <c r="D9" s="5" t="str">
        <f t="shared" si="1"/>
        <v>A</v>
      </c>
      <c r="F9" s="1">
        <f>SUMIF(Данные!$A$2:$A$1001,B9,Данные!$D$2:$D$1001)</f>
        <v>4663735</v>
      </c>
      <c r="G9" s="1">
        <f>COUNTIF(Данные!$A$2:$A$1001,B9)</f>
        <v>81</v>
      </c>
    </row>
    <row r="10" spans="1:7" ht="14.25" customHeight="1" x14ac:dyDescent="0.25">
      <c r="A10" s="1">
        <v>3</v>
      </c>
      <c r="B10" s="5" t="s">
        <v>27</v>
      </c>
      <c r="C10" s="5" t="str">
        <f t="shared" si="0"/>
        <v>A</v>
      </c>
      <c r="D10" s="5" t="str">
        <f t="shared" si="1"/>
        <v>A</v>
      </c>
      <c r="F10" s="1">
        <f>SUMIF(Данные!$A$2:$A$1001,B10,Данные!$D$2:$D$1001)</f>
        <v>4608709</v>
      </c>
      <c r="G10" s="1">
        <f>COUNTIF(Данные!$A$2:$A$1001,B10)</f>
        <v>84</v>
      </c>
    </row>
    <row r="11" spans="1:7" ht="14.25" customHeight="1" x14ac:dyDescent="0.25">
      <c r="A11" s="1">
        <v>4</v>
      </c>
      <c r="B11" s="5" t="s">
        <v>51</v>
      </c>
      <c r="C11" s="5" t="str">
        <f t="shared" si="0"/>
        <v>A</v>
      </c>
      <c r="D11" s="5" t="str">
        <f t="shared" si="1"/>
        <v>A</v>
      </c>
      <c r="F11" s="1">
        <f>SUMIF(Данные!$A$2:$A$1001,B11,Данные!$D$2:$D$1001)</f>
        <v>4333937</v>
      </c>
      <c r="G11" s="1">
        <f>COUNTIF(Данные!$A$2:$A$1001,B11)</f>
        <v>81</v>
      </c>
    </row>
    <row r="12" spans="1:7" ht="14.25" customHeight="1" x14ac:dyDescent="0.25">
      <c r="A12" s="1">
        <v>5</v>
      </c>
      <c r="B12" s="5" t="s">
        <v>40</v>
      </c>
      <c r="C12" s="5" t="str">
        <f t="shared" si="0"/>
        <v>C</v>
      </c>
      <c r="D12" s="5" t="str">
        <f t="shared" si="1"/>
        <v>C</v>
      </c>
      <c r="F12" s="1">
        <f>SUMIF(Данные!$A$2:$A$1001,B12,Данные!$D$2:$D$1001)</f>
        <v>3947236</v>
      </c>
      <c r="G12" s="1">
        <f>COUNTIF(Данные!$A$2:$A$1001,B12)</f>
        <v>70</v>
      </c>
    </row>
    <row r="13" spans="1:7" ht="14.25" customHeight="1" x14ac:dyDescent="0.25">
      <c r="A13" s="1">
        <v>6</v>
      </c>
      <c r="B13" s="5" t="s">
        <v>8</v>
      </c>
      <c r="C13" s="5" t="str">
        <f t="shared" si="0"/>
        <v>B</v>
      </c>
      <c r="D13" s="5" t="str">
        <f t="shared" si="1"/>
        <v>B</v>
      </c>
      <c r="F13" s="1">
        <f>SUMIF(Данные!$A$2:$A$1001,B13,Данные!$D$2:$D$1001)</f>
        <v>4024215</v>
      </c>
      <c r="G13" s="1">
        <f>COUNTIF(Данные!$A$2:$A$1001,B13)</f>
        <v>78</v>
      </c>
    </row>
    <row r="14" spans="1:7" ht="14.25" customHeight="1" x14ac:dyDescent="0.25">
      <c r="A14" s="1">
        <v>7</v>
      </c>
      <c r="B14" s="5" t="s">
        <v>31</v>
      </c>
      <c r="C14" s="5" t="str">
        <f t="shared" si="0"/>
        <v>A</v>
      </c>
      <c r="D14" s="5" t="str">
        <f t="shared" si="1"/>
        <v>A</v>
      </c>
      <c r="F14" s="1">
        <f>SUMIF(Данные!$A$2:$A$1001,B14,Данные!$D$2:$D$1001)</f>
        <v>4876362</v>
      </c>
      <c r="G14" s="1">
        <f>COUNTIF(Данные!$A$2:$A$1001,B14)</f>
        <v>87</v>
      </c>
    </row>
    <row r="15" spans="1:7" ht="14.25" customHeight="1" x14ac:dyDescent="0.25">
      <c r="A15" s="1">
        <v>8</v>
      </c>
      <c r="B15" s="5" t="s">
        <v>76</v>
      </c>
      <c r="C15" s="5" t="str">
        <f t="shared" si="0"/>
        <v>A</v>
      </c>
      <c r="D15" s="5" t="str">
        <f t="shared" si="1"/>
        <v>A</v>
      </c>
      <c r="F15" s="1">
        <f>SUMIF(Данные!$A$2:$A$1001,B15,Данные!$D$2:$D$1001)</f>
        <v>4655793</v>
      </c>
      <c r="G15" s="1">
        <f>COUNTIF(Данные!$A$2:$A$1001,B15)</f>
        <v>86</v>
      </c>
    </row>
    <row r="16" spans="1:7" ht="14.25" customHeight="1" x14ac:dyDescent="0.25">
      <c r="A16" s="1">
        <v>9</v>
      </c>
      <c r="B16" s="5" t="s">
        <v>66</v>
      </c>
      <c r="C16" s="5" t="str">
        <f t="shared" si="0"/>
        <v>B</v>
      </c>
      <c r="D16" s="5" t="str">
        <f t="shared" si="1"/>
        <v>B</v>
      </c>
      <c r="F16" s="1">
        <f>SUMIF(Данные!$A$2:$A$1001,B16,Данные!$D$2:$D$1001)</f>
        <v>4074821</v>
      </c>
      <c r="G16" s="1">
        <f>COUNTIF(Данные!$A$2:$A$1001,B16)</f>
        <v>73</v>
      </c>
    </row>
    <row r="17" spans="1:7" ht="14.25" customHeight="1" x14ac:dyDescent="0.25">
      <c r="A17" s="1">
        <v>10</v>
      </c>
      <c r="B17" s="5" t="s">
        <v>15</v>
      </c>
      <c r="C17" s="5" t="str">
        <f t="shared" si="0"/>
        <v>A</v>
      </c>
      <c r="D17" s="5" t="str">
        <f t="shared" si="1"/>
        <v>A</v>
      </c>
      <c r="F17" s="1">
        <f>SUMIF(Данные!$A$2:$A$1001,B17,Данные!$D$2:$D$1001)</f>
        <v>4835403</v>
      </c>
      <c r="G17" s="1">
        <f>COUNTIF(Данные!$A$2:$A$1001,B17)</f>
        <v>80</v>
      </c>
    </row>
    <row r="18" spans="1:7" ht="14.25" customHeight="1" x14ac:dyDescent="0.25">
      <c r="A18" s="1">
        <v>11</v>
      </c>
      <c r="B18" s="5" t="s">
        <v>5</v>
      </c>
      <c r="C18" s="5" t="str">
        <f t="shared" si="0"/>
        <v>A</v>
      </c>
      <c r="D18" s="5" t="str">
        <f t="shared" si="1"/>
        <v>A</v>
      </c>
      <c r="F18" s="1">
        <f>SUMIF(Данные!$A$2:$A$1001,B18,Данные!$D$2:$D$1001)</f>
        <v>4370236</v>
      </c>
      <c r="G18" s="1">
        <f>COUNTIF(Данные!$A$2:$A$1001,B18)</f>
        <v>83</v>
      </c>
    </row>
    <row r="19" spans="1:7" ht="14.25" customHeight="1" x14ac:dyDescent="0.25">
      <c r="A19" s="1">
        <v>12</v>
      </c>
      <c r="B19" s="5" t="s">
        <v>10</v>
      </c>
      <c r="C19" s="5" t="str">
        <f t="shared" si="0"/>
        <v>A</v>
      </c>
      <c r="D19" s="5" t="str">
        <f t="shared" si="1"/>
        <v>A</v>
      </c>
      <c r="F19" s="1">
        <f>SUMIF(Данные!$A$2:$A$1001,B19,Данные!$D$2:$D$1001)</f>
        <v>4966684</v>
      </c>
      <c r="G19" s="1">
        <f>COUNTIF(Данные!$A$2:$A$1001,B19)</f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31" sqref="Q31"/>
    </sheetView>
  </sheetViews>
  <sheetFormatPr defaultColWidth="8.7109375" defaultRowHeight="14.25" customHeight="1" x14ac:dyDescent="0.25"/>
  <cols>
    <col min="1" max="1" width="32" style="1" customWidth="1"/>
    <col min="17" max="17" width="15.85546875" customWidth="1"/>
  </cols>
  <sheetData>
    <row r="1" spans="1:17" ht="14.25" customHeight="1" x14ac:dyDescent="0.25">
      <c r="A1" s="6" t="s">
        <v>469</v>
      </c>
      <c r="B1" s="5" t="s">
        <v>470</v>
      </c>
      <c r="C1" s="5" t="s">
        <v>471</v>
      </c>
      <c r="D1" s="5" t="s">
        <v>472</v>
      </c>
      <c r="E1" s="5" t="s">
        <v>473</v>
      </c>
      <c r="F1" s="5" t="s">
        <v>474</v>
      </c>
      <c r="G1" s="5" t="s">
        <v>475</v>
      </c>
      <c r="H1" s="5" t="s">
        <v>476</v>
      </c>
      <c r="I1" s="5" t="s">
        <v>477</v>
      </c>
      <c r="J1" s="5" t="s">
        <v>478</v>
      </c>
      <c r="K1" s="5" t="s">
        <v>479</v>
      </c>
      <c r="L1" s="5" t="s">
        <v>480</v>
      </c>
      <c r="M1" s="5" t="s">
        <v>481</v>
      </c>
      <c r="N1" s="5" t="s">
        <v>482</v>
      </c>
      <c r="O1" s="7" t="s">
        <v>483</v>
      </c>
      <c r="P1" s="7" t="s">
        <v>484</v>
      </c>
      <c r="Q1" s="1" t="s">
        <v>485</v>
      </c>
    </row>
    <row r="2" spans="1:17" ht="14.25" customHeight="1" x14ac:dyDescent="0.25">
      <c r="A2" s="5" t="s">
        <v>366</v>
      </c>
      <c r="B2" s="5">
        <f>SUMIFS(Данные!$D$2:$D$1001,Данные!$B$2:$B$1001,$A2,Данные!$C$2:$C$1001,"2023-09*")</f>
        <v>0</v>
      </c>
      <c r="C2" s="5">
        <f>SUMIFS(Данные!$D$2:$D$1001,Данные!$B$2:$B$1001,$A2,Данные!$C$2:$C$1001,"2023-10*")</f>
        <v>0</v>
      </c>
      <c r="D2" s="5">
        <f>SUMIFS(Данные!$D$2:$D$1001,Данные!$B$2:$B$1001,$A2,Данные!$C$2:$C$1001,"2023-11*")</f>
        <v>0</v>
      </c>
      <c r="E2" s="5">
        <f>SUMIFS(Данные!$D$2:$D$1001,Данные!$B$2:$B$1001,$A2,Данные!$C$2:$C$1001,"2023-12*")</f>
        <v>0</v>
      </c>
      <c r="F2" s="5">
        <f>SUMIFS(Данные!$D$2:$D$1001,Данные!$B$2:$B$1001,$A2,Данные!$C$2:$C$1001,"2024-01*")</f>
        <v>0</v>
      </c>
      <c r="G2" s="5">
        <f>SUMIFS(Данные!$D$2:$D$1001,Данные!$B$2:$B$1001,$A2,Данные!$C$2:$C$1001,"2024-02*")</f>
        <v>0</v>
      </c>
      <c r="H2" s="5">
        <f>SUMIFS(Данные!$D$2:$D$1001,Данные!$B$2:$B$1001,$A2,Данные!$C$2:$C$1001,"2024-03*")</f>
        <v>0</v>
      </c>
      <c r="I2" s="5">
        <f>SUMIFS(Данные!$D$2:$D$1001,Данные!$B$2:$B$1001,$A2,Данные!$C$2:$C$1001,"2024-04*")</f>
        <v>27992</v>
      </c>
      <c r="J2" s="5">
        <f>SUMIFS(Данные!$D$2:$D$1001,Данные!$B$2:$B$1001,$A2,Данные!$C$2:$C$1001,"2024-05*")</f>
        <v>0</v>
      </c>
      <c r="K2" s="5">
        <f>SUMIFS(Данные!$D$2:$D$1001,Данные!$B$2:$B$1001,$A2,Данные!$C$2:$C$1001,"2024-06*")</f>
        <v>0</v>
      </c>
      <c r="L2" s="5">
        <f>SUMIFS(Данные!$D$2:$D$1001,Данные!$B$2:$B$1001,$A2,Данные!$C$2:$C$1001,"2024-07*")</f>
        <v>0</v>
      </c>
      <c r="M2" s="5">
        <f>SUMIFS(Данные!$D$2:$D$1001,Данные!$B$2:$B$1001,$A2,Данные!$C$2:$C$1001,"2024-08*")</f>
        <v>0</v>
      </c>
      <c r="N2" s="5">
        <f>SUMIFS(Данные!$D$2:$D$1001,Данные!$B$2:$B$1001,$A2,Данные!$C$2:$C$1001,"2024-09*")</f>
        <v>0</v>
      </c>
      <c r="O2" s="8" t="str">
        <f t="shared" ref="O2:O33" si="0">IF(SUMPRODUCT(($Q$2:$Q$198&gt;=Q2)*$Q$2:$Q$198)/SUM($Q$2:$Q$198)&lt;=80%,"A",IF(SUMPRODUCT(($Q$2:$Q$198&gt;=Q2)*$Q$2:$Q$198)/SUM($Q$2:$Q$198)&lt;=95%,"B","C"))</f>
        <v>C</v>
      </c>
      <c r="P2" s="8" t="str">
        <f t="shared" ref="P2:P33" si="1">IFERROR(IF(SQRT(SUMPRODUCT((B2:N2-AVERAGE(B2:N2))^2)/(COUNT(B2:N2)-1))/AVERAGE(B2:N2)&lt;=10%,"X",IF(SQRT(SUMPRODUCT((B2:N2-AVERAGE(B2:N2))^2)/(COUNT(B2:N2)-1))/AVERAGE(B2:N2)&lt;=25%,"Y","Z")),"Z")</f>
        <v>Z</v>
      </c>
      <c r="Q2" s="9">
        <f t="shared" ref="Q2:Q33" si="2">SUM(B2:N2)</f>
        <v>27992</v>
      </c>
    </row>
    <row r="3" spans="1:17" ht="14.25" customHeight="1" x14ac:dyDescent="0.25">
      <c r="A3" s="5" t="s">
        <v>111</v>
      </c>
      <c r="B3" s="5">
        <f>SUMIFS(Данные!$D$2:$D$1001,Данные!$B$2:$B$1001,$A3,Данные!$C$2:$C$1001,"2023-09*")</f>
        <v>0</v>
      </c>
      <c r="C3" s="5">
        <f>SUMIFS(Данные!$D$2:$D$1001,Данные!$B$2:$B$1001,$A3,Данные!$C$2:$C$1001,"2023-10*")</f>
        <v>24657</v>
      </c>
      <c r="D3" s="5">
        <f>SUMIFS(Данные!$D$2:$D$1001,Данные!$B$2:$B$1001,$A3,Данные!$C$2:$C$1001,"2023-11*")</f>
        <v>0</v>
      </c>
      <c r="E3" s="5">
        <f>SUMIFS(Данные!$D$2:$D$1001,Данные!$B$2:$B$1001,$A3,Данные!$C$2:$C$1001,"2023-12*")</f>
        <v>33109</v>
      </c>
      <c r="F3" s="5">
        <f>SUMIFS(Данные!$D$2:$D$1001,Данные!$B$2:$B$1001,$A3,Данные!$C$2:$C$1001,"2024-01*")</f>
        <v>100033</v>
      </c>
      <c r="G3" s="5">
        <f>SUMIFS(Данные!$D$2:$D$1001,Данные!$B$2:$B$1001,$A3,Данные!$C$2:$C$1001,"2024-02*")</f>
        <v>0</v>
      </c>
      <c r="H3" s="5">
        <f>SUMIFS(Данные!$D$2:$D$1001,Данные!$B$2:$B$1001,$A3,Данные!$C$2:$C$1001,"2024-03*")</f>
        <v>17571</v>
      </c>
      <c r="I3" s="5">
        <f>SUMIFS(Данные!$D$2:$D$1001,Данные!$B$2:$B$1001,$A3,Данные!$C$2:$C$1001,"2024-04*")</f>
        <v>93299</v>
      </c>
      <c r="J3" s="5">
        <f>SUMIFS(Данные!$D$2:$D$1001,Данные!$B$2:$B$1001,$A3,Данные!$C$2:$C$1001,"2024-05*")</f>
        <v>0</v>
      </c>
      <c r="K3" s="5">
        <f>SUMIFS(Данные!$D$2:$D$1001,Данные!$B$2:$B$1001,$A3,Данные!$C$2:$C$1001,"2024-06*")</f>
        <v>0</v>
      </c>
      <c r="L3" s="5">
        <f>SUMIFS(Данные!$D$2:$D$1001,Данные!$B$2:$B$1001,$A3,Данные!$C$2:$C$1001,"2024-07*")</f>
        <v>51864</v>
      </c>
      <c r="M3" s="5">
        <f>SUMIFS(Данные!$D$2:$D$1001,Данные!$B$2:$B$1001,$A3,Данные!$C$2:$C$1001,"2024-08*")</f>
        <v>0</v>
      </c>
      <c r="N3" s="5">
        <f>SUMIFS(Данные!$D$2:$D$1001,Данные!$B$2:$B$1001,$A3,Данные!$C$2:$C$1001,"2024-09*")</f>
        <v>0</v>
      </c>
      <c r="O3" s="8" t="str">
        <f t="shared" si="0"/>
        <v>A</v>
      </c>
      <c r="P3" s="8" t="str">
        <f t="shared" si="1"/>
        <v>Z</v>
      </c>
      <c r="Q3" s="9">
        <f t="shared" si="2"/>
        <v>320533</v>
      </c>
    </row>
    <row r="4" spans="1:17" ht="14.25" customHeight="1" x14ac:dyDescent="0.25">
      <c r="A4" s="5" t="s">
        <v>160</v>
      </c>
      <c r="B4" s="5">
        <f>SUMIFS(Данные!$D$2:$D$1001,Данные!$B$2:$B$1001,$A4,Данные!$C$2:$C$1001,"2023-09*")</f>
        <v>0</v>
      </c>
      <c r="C4" s="5">
        <f>SUMIFS(Данные!$D$2:$D$1001,Данные!$B$2:$B$1001,$A4,Данные!$C$2:$C$1001,"2023-10*")</f>
        <v>52809</v>
      </c>
      <c r="D4" s="5">
        <f>SUMIFS(Данные!$D$2:$D$1001,Данные!$B$2:$B$1001,$A4,Данные!$C$2:$C$1001,"2023-11*")</f>
        <v>36203</v>
      </c>
      <c r="E4" s="5">
        <f>SUMIFS(Данные!$D$2:$D$1001,Данные!$B$2:$B$1001,$A4,Данные!$C$2:$C$1001,"2023-12*")</f>
        <v>57095</v>
      </c>
      <c r="F4" s="5">
        <f>SUMIFS(Данные!$D$2:$D$1001,Данные!$B$2:$B$1001,$A4,Данные!$C$2:$C$1001,"2024-01*")</f>
        <v>0</v>
      </c>
      <c r="G4" s="5">
        <f>SUMIFS(Данные!$D$2:$D$1001,Данные!$B$2:$B$1001,$A4,Данные!$C$2:$C$1001,"2024-02*")</f>
        <v>0</v>
      </c>
      <c r="H4" s="5">
        <f>SUMIFS(Данные!$D$2:$D$1001,Данные!$B$2:$B$1001,$A4,Данные!$C$2:$C$1001,"2024-03*")</f>
        <v>63472</v>
      </c>
      <c r="I4" s="5">
        <f>SUMIFS(Данные!$D$2:$D$1001,Данные!$B$2:$B$1001,$A4,Данные!$C$2:$C$1001,"2024-04*")</f>
        <v>95144</v>
      </c>
      <c r="J4" s="5">
        <f>SUMIFS(Данные!$D$2:$D$1001,Данные!$B$2:$B$1001,$A4,Данные!$C$2:$C$1001,"2024-05*")</f>
        <v>0</v>
      </c>
      <c r="K4" s="5">
        <f>SUMIFS(Данные!$D$2:$D$1001,Данные!$B$2:$B$1001,$A4,Данные!$C$2:$C$1001,"2024-06*")</f>
        <v>0</v>
      </c>
      <c r="L4" s="5">
        <f>SUMIFS(Данные!$D$2:$D$1001,Данные!$B$2:$B$1001,$A4,Данные!$C$2:$C$1001,"2024-07*")</f>
        <v>0</v>
      </c>
      <c r="M4" s="5">
        <f>SUMIFS(Данные!$D$2:$D$1001,Данные!$B$2:$B$1001,$A4,Данные!$C$2:$C$1001,"2024-08*")</f>
        <v>60786</v>
      </c>
      <c r="N4" s="5">
        <f>SUMIFS(Данные!$D$2:$D$1001,Данные!$B$2:$B$1001,$A4,Данные!$C$2:$C$1001,"2024-09*")</f>
        <v>0</v>
      </c>
      <c r="O4" s="8" t="str">
        <f t="shared" si="0"/>
        <v>A</v>
      </c>
      <c r="P4" s="8" t="str">
        <f t="shared" si="1"/>
        <v>Z</v>
      </c>
      <c r="Q4" s="9">
        <f t="shared" si="2"/>
        <v>365509</v>
      </c>
    </row>
    <row r="5" spans="1:17" ht="14.25" customHeight="1" x14ac:dyDescent="0.25">
      <c r="A5" s="5" t="s">
        <v>124</v>
      </c>
      <c r="B5" s="5">
        <f>SUMIFS(Данные!$D$2:$D$1001,Данные!$B$2:$B$1001,$A5,Данные!$C$2:$C$1001,"2023-09*")</f>
        <v>0</v>
      </c>
      <c r="C5" s="5">
        <f>SUMIFS(Данные!$D$2:$D$1001,Данные!$B$2:$B$1001,$A5,Данные!$C$2:$C$1001,"2023-10*")</f>
        <v>80258</v>
      </c>
      <c r="D5" s="5">
        <f>SUMIFS(Данные!$D$2:$D$1001,Данные!$B$2:$B$1001,$A5,Данные!$C$2:$C$1001,"2023-11*")</f>
        <v>0</v>
      </c>
      <c r="E5" s="5">
        <f>SUMIFS(Данные!$D$2:$D$1001,Данные!$B$2:$B$1001,$A5,Данные!$C$2:$C$1001,"2023-12*")</f>
        <v>0</v>
      </c>
      <c r="F5" s="5">
        <f>SUMIFS(Данные!$D$2:$D$1001,Данные!$B$2:$B$1001,$A5,Данные!$C$2:$C$1001,"2024-01*")</f>
        <v>0</v>
      </c>
      <c r="G5" s="5">
        <f>SUMIFS(Данные!$D$2:$D$1001,Данные!$B$2:$B$1001,$A5,Данные!$C$2:$C$1001,"2024-02*")</f>
        <v>0</v>
      </c>
      <c r="H5" s="5">
        <f>SUMIFS(Данные!$D$2:$D$1001,Данные!$B$2:$B$1001,$A5,Данные!$C$2:$C$1001,"2024-03*")</f>
        <v>76378</v>
      </c>
      <c r="I5" s="5">
        <f>SUMIFS(Данные!$D$2:$D$1001,Данные!$B$2:$B$1001,$A5,Данные!$C$2:$C$1001,"2024-04*")</f>
        <v>75993</v>
      </c>
      <c r="J5" s="5">
        <f>SUMIFS(Данные!$D$2:$D$1001,Данные!$B$2:$B$1001,$A5,Данные!$C$2:$C$1001,"2024-05*")</f>
        <v>107383</v>
      </c>
      <c r="K5" s="5">
        <f>SUMIFS(Данные!$D$2:$D$1001,Данные!$B$2:$B$1001,$A5,Данные!$C$2:$C$1001,"2024-06*")</f>
        <v>0</v>
      </c>
      <c r="L5" s="5">
        <f>SUMIFS(Данные!$D$2:$D$1001,Данные!$B$2:$B$1001,$A5,Данные!$C$2:$C$1001,"2024-07*")</f>
        <v>69175</v>
      </c>
      <c r="M5" s="5">
        <f>SUMIFS(Данные!$D$2:$D$1001,Данные!$B$2:$B$1001,$A5,Данные!$C$2:$C$1001,"2024-08*")</f>
        <v>0</v>
      </c>
      <c r="N5" s="5">
        <f>SUMIFS(Данные!$D$2:$D$1001,Данные!$B$2:$B$1001,$A5,Данные!$C$2:$C$1001,"2024-09*")</f>
        <v>0</v>
      </c>
      <c r="O5" s="8" t="str">
        <f t="shared" si="0"/>
        <v>A</v>
      </c>
      <c r="P5" s="8" t="str">
        <f t="shared" si="1"/>
        <v>Z</v>
      </c>
      <c r="Q5" s="9">
        <f t="shared" si="2"/>
        <v>409187</v>
      </c>
    </row>
    <row r="6" spans="1:17" ht="14.25" customHeight="1" x14ac:dyDescent="0.25">
      <c r="A6" s="5" t="s">
        <v>121</v>
      </c>
      <c r="B6" s="5">
        <f>SUMIFS(Данные!$D$2:$D$1001,Данные!$B$2:$B$1001,$A6,Данные!$C$2:$C$1001,"2023-09*")</f>
        <v>0</v>
      </c>
      <c r="C6" s="5">
        <f>SUMIFS(Данные!$D$2:$D$1001,Данные!$B$2:$B$1001,$A6,Данные!$C$2:$C$1001,"2023-10*")</f>
        <v>56565</v>
      </c>
      <c r="D6" s="5">
        <f>SUMIFS(Данные!$D$2:$D$1001,Данные!$B$2:$B$1001,$A6,Данные!$C$2:$C$1001,"2023-11*")</f>
        <v>0</v>
      </c>
      <c r="E6" s="5">
        <f>SUMIFS(Данные!$D$2:$D$1001,Данные!$B$2:$B$1001,$A6,Данные!$C$2:$C$1001,"2023-12*")</f>
        <v>71459</v>
      </c>
      <c r="F6" s="5">
        <f>SUMIFS(Данные!$D$2:$D$1001,Данные!$B$2:$B$1001,$A6,Данные!$C$2:$C$1001,"2024-01*")</f>
        <v>54558</v>
      </c>
      <c r="G6" s="5">
        <f>SUMIFS(Данные!$D$2:$D$1001,Данные!$B$2:$B$1001,$A6,Данные!$C$2:$C$1001,"2024-02*")</f>
        <v>0</v>
      </c>
      <c r="H6" s="5">
        <f>SUMIFS(Данные!$D$2:$D$1001,Данные!$B$2:$B$1001,$A6,Данные!$C$2:$C$1001,"2024-03*")</f>
        <v>0</v>
      </c>
      <c r="I6" s="5">
        <f>SUMIFS(Данные!$D$2:$D$1001,Данные!$B$2:$B$1001,$A6,Данные!$C$2:$C$1001,"2024-04*")</f>
        <v>28254</v>
      </c>
      <c r="J6" s="5">
        <f>SUMIFS(Данные!$D$2:$D$1001,Данные!$B$2:$B$1001,$A6,Данные!$C$2:$C$1001,"2024-05*")</f>
        <v>30646</v>
      </c>
      <c r="K6" s="5">
        <f>SUMIFS(Данные!$D$2:$D$1001,Данные!$B$2:$B$1001,$A6,Данные!$C$2:$C$1001,"2024-06*")</f>
        <v>0</v>
      </c>
      <c r="L6" s="5">
        <f>SUMIFS(Данные!$D$2:$D$1001,Данные!$B$2:$B$1001,$A6,Данные!$C$2:$C$1001,"2024-07*")</f>
        <v>74138</v>
      </c>
      <c r="M6" s="5">
        <f>SUMIFS(Данные!$D$2:$D$1001,Данные!$B$2:$B$1001,$A6,Данные!$C$2:$C$1001,"2024-08*")</f>
        <v>0</v>
      </c>
      <c r="N6" s="5">
        <f>SUMIFS(Данные!$D$2:$D$1001,Данные!$B$2:$B$1001,$A6,Данные!$C$2:$C$1001,"2024-09*")</f>
        <v>0</v>
      </c>
      <c r="O6" s="8" t="str">
        <f t="shared" si="0"/>
        <v>A</v>
      </c>
      <c r="P6" s="8" t="str">
        <f t="shared" si="1"/>
        <v>Z</v>
      </c>
      <c r="Q6" s="9">
        <f t="shared" si="2"/>
        <v>315620</v>
      </c>
    </row>
    <row r="7" spans="1:17" ht="14.25" customHeight="1" x14ac:dyDescent="0.25">
      <c r="A7" s="5" t="s">
        <v>252</v>
      </c>
      <c r="B7" s="5">
        <f>SUMIFS(Данные!$D$2:$D$1001,Данные!$B$2:$B$1001,$A7,Данные!$C$2:$C$1001,"2023-09*")</f>
        <v>0</v>
      </c>
      <c r="C7" s="5">
        <f>SUMIFS(Данные!$D$2:$D$1001,Данные!$B$2:$B$1001,$A7,Данные!$C$2:$C$1001,"2023-10*")</f>
        <v>0</v>
      </c>
      <c r="D7" s="5">
        <f>SUMIFS(Данные!$D$2:$D$1001,Данные!$B$2:$B$1001,$A7,Данные!$C$2:$C$1001,"2023-11*")</f>
        <v>0</v>
      </c>
      <c r="E7" s="5">
        <f>SUMIFS(Данные!$D$2:$D$1001,Данные!$B$2:$B$1001,$A7,Данные!$C$2:$C$1001,"2023-12*")</f>
        <v>53799</v>
      </c>
      <c r="F7" s="5">
        <f>SUMIFS(Данные!$D$2:$D$1001,Данные!$B$2:$B$1001,$A7,Данные!$C$2:$C$1001,"2024-01*")</f>
        <v>0</v>
      </c>
      <c r="G7" s="5">
        <f>SUMIFS(Данные!$D$2:$D$1001,Данные!$B$2:$B$1001,$A7,Данные!$C$2:$C$1001,"2024-02*")</f>
        <v>0</v>
      </c>
      <c r="H7" s="5">
        <f>SUMIFS(Данные!$D$2:$D$1001,Данные!$B$2:$B$1001,$A7,Данные!$C$2:$C$1001,"2024-03*")</f>
        <v>0</v>
      </c>
      <c r="I7" s="5">
        <f>SUMIFS(Данные!$D$2:$D$1001,Данные!$B$2:$B$1001,$A7,Данные!$C$2:$C$1001,"2024-04*")</f>
        <v>0</v>
      </c>
      <c r="J7" s="5">
        <f>SUMIFS(Данные!$D$2:$D$1001,Данные!$B$2:$B$1001,$A7,Данные!$C$2:$C$1001,"2024-05*")</f>
        <v>96006</v>
      </c>
      <c r="K7" s="5">
        <f>SUMIFS(Данные!$D$2:$D$1001,Данные!$B$2:$B$1001,$A7,Данные!$C$2:$C$1001,"2024-06*")</f>
        <v>0</v>
      </c>
      <c r="L7" s="5">
        <f>SUMIFS(Данные!$D$2:$D$1001,Данные!$B$2:$B$1001,$A7,Данные!$C$2:$C$1001,"2024-07*")</f>
        <v>0</v>
      </c>
      <c r="M7" s="5">
        <f>SUMIFS(Данные!$D$2:$D$1001,Данные!$B$2:$B$1001,$A7,Данные!$C$2:$C$1001,"2024-08*")</f>
        <v>25653</v>
      </c>
      <c r="N7" s="5">
        <f>SUMIFS(Данные!$D$2:$D$1001,Данные!$B$2:$B$1001,$A7,Данные!$C$2:$C$1001,"2024-09*")</f>
        <v>0</v>
      </c>
      <c r="O7" s="8" t="str">
        <f t="shared" si="0"/>
        <v>B</v>
      </c>
      <c r="P7" s="8" t="str">
        <f t="shared" si="1"/>
        <v>Z</v>
      </c>
      <c r="Q7" s="9">
        <f t="shared" si="2"/>
        <v>175458</v>
      </c>
    </row>
    <row r="8" spans="1:17" ht="14.25" customHeight="1" x14ac:dyDescent="0.25">
      <c r="A8" s="5" t="s">
        <v>74</v>
      </c>
      <c r="B8" s="5">
        <f>SUMIFS(Данные!$D$2:$D$1001,Данные!$B$2:$B$1001,$A8,Данные!$C$2:$C$1001,"2023-09*")</f>
        <v>37576</v>
      </c>
      <c r="C8" s="5">
        <f>SUMIFS(Данные!$D$2:$D$1001,Данные!$B$2:$B$1001,$A8,Данные!$C$2:$C$1001,"2023-10*")</f>
        <v>0</v>
      </c>
      <c r="D8" s="5">
        <f>SUMIFS(Данные!$D$2:$D$1001,Данные!$B$2:$B$1001,$A8,Данные!$C$2:$C$1001,"2023-11*")</f>
        <v>0</v>
      </c>
      <c r="E8" s="5">
        <f>SUMIFS(Данные!$D$2:$D$1001,Данные!$B$2:$B$1001,$A8,Данные!$C$2:$C$1001,"2023-12*")</f>
        <v>0</v>
      </c>
      <c r="F8" s="5">
        <f>SUMIFS(Данные!$D$2:$D$1001,Данные!$B$2:$B$1001,$A8,Данные!$C$2:$C$1001,"2024-01*")</f>
        <v>0</v>
      </c>
      <c r="G8" s="5">
        <f>SUMIFS(Данные!$D$2:$D$1001,Данные!$B$2:$B$1001,$A8,Данные!$C$2:$C$1001,"2024-02*")</f>
        <v>17429</v>
      </c>
      <c r="H8" s="5">
        <f>SUMIFS(Данные!$D$2:$D$1001,Данные!$B$2:$B$1001,$A8,Данные!$C$2:$C$1001,"2024-03*")</f>
        <v>50456</v>
      </c>
      <c r="I8" s="5">
        <f>SUMIFS(Данные!$D$2:$D$1001,Данные!$B$2:$B$1001,$A8,Данные!$C$2:$C$1001,"2024-04*")</f>
        <v>0</v>
      </c>
      <c r="J8" s="5">
        <f>SUMIFS(Данные!$D$2:$D$1001,Данные!$B$2:$B$1001,$A8,Данные!$C$2:$C$1001,"2024-05*")</f>
        <v>0</v>
      </c>
      <c r="K8" s="5">
        <f>SUMIFS(Данные!$D$2:$D$1001,Данные!$B$2:$B$1001,$A8,Данные!$C$2:$C$1001,"2024-06*")</f>
        <v>0</v>
      </c>
      <c r="L8" s="5">
        <f>SUMIFS(Данные!$D$2:$D$1001,Данные!$B$2:$B$1001,$A8,Данные!$C$2:$C$1001,"2024-07*")</f>
        <v>0</v>
      </c>
      <c r="M8" s="5">
        <f>SUMIFS(Данные!$D$2:$D$1001,Данные!$B$2:$B$1001,$A8,Данные!$C$2:$C$1001,"2024-08*")</f>
        <v>0</v>
      </c>
      <c r="N8" s="5">
        <f>SUMIFS(Данные!$D$2:$D$1001,Данные!$B$2:$B$1001,$A8,Данные!$C$2:$C$1001,"2024-09*")</f>
        <v>0</v>
      </c>
      <c r="O8" s="8" t="str">
        <f t="shared" si="0"/>
        <v>C</v>
      </c>
      <c r="P8" s="8" t="str">
        <f t="shared" si="1"/>
        <v>Z</v>
      </c>
      <c r="Q8" s="9">
        <f t="shared" si="2"/>
        <v>105461</v>
      </c>
    </row>
    <row r="9" spans="1:17" ht="14.25" customHeight="1" x14ac:dyDescent="0.25">
      <c r="A9" s="5" t="s">
        <v>45</v>
      </c>
      <c r="B9" s="5">
        <f>SUMIFS(Данные!$D$2:$D$1001,Данные!$B$2:$B$1001,$A9,Данные!$C$2:$C$1001,"2023-09*")</f>
        <v>12173</v>
      </c>
      <c r="C9" s="5">
        <f>SUMIFS(Данные!$D$2:$D$1001,Данные!$B$2:$B$1001,$A9,Данные!$C$2:$C$1001,"2023-10*")</f>
        <v>0</v>
      </c>
      <c r="D9" s="5">
        <f>SUMIFS(Данные!$D$2:$D$1001,Данные!$B$2:$B$1001,$A9,Данные!$C$2:$C$1001,"2023-11*")</f>
        <v>85015</v>
      </c>
      <c r="E9" s="5">
        <f>SUMIFS(Данные!$D$2:$D$1001,Данные!$B$2:$B$1001,$A9,Данные!$C$2:$C$1001,"2023-12*")</f>
        <v>0</v>
      </c>
      <c r="F9" s="5">
        <f>SUMIFS(Данные!$D$2:$D$1001,Данные!$B$2:$B$1001,$A9,Данные!$C$2:$C$1001,"2024-01*")</f>
        <v>0</v>
      </c>
      <c r="G9" s="5">
        <f>SUMIFS(Данные!$D$2:$D$1001,Данные!$B$2:$B$1001,$A9,Данные!$C$2:$C$1001,"2024-02*")</f>
        <v>92086</v>
      </c>
      <c r="H9" s="5">
        <f>SUMIFS(Данные!$D$2:$D$1001,Данные!$B$2:$B$1001,$A9,Данные!$C$2:$C$1001,"2024-03*")</f>
        <v>47256</v>
      </c>
      <c r="I9" s="5">
        <f>SUMIFS(Данные!$D$2:$D$1001,Данные!$B$2:$B$1001,$A9,Данные!$C$2:$C$1001,"2024-04*")</f>
        <v>55233</v>
      </c>
      <c r="J9" s="5">
        <f>SUMIFS(Данные!$D$2:$D$1001,Данные!$B$2:$B$1001,$A9,Данные!$C$2:$C$1001,"2024-05*")</f>
        <v>44834</v>
      </c>
      <c r="K9" s="5">
        <f>SUMIFS(Данные!$D$2:$D$1001,Данные!$B$2:$B$1001,$A9,Данные!$C$2:$C$1001,"2024-06*")</f>
        <v>0</v>
      </c>
      <c r="L9" s="5">
        <f>SUMIFS(Данные!$D$2:$D$1001,Данные!$B$2:$B$1001,$A9,Данные!$C$2:$C$1001,"2024-07*")</f>
        <v>86087</v>
      </c>
      <c r="M9" s="5">
        <f>SUMIFS(Данные!$D$2:$D$1001,Данные!$B$2:$B$1001,$A9,Данные!$C$2:$C$1001,"2024-08*")</f>
        <v>101956</v>
      </c>
      <c r="N9" s="5">
        <f>SUMIFS(Данные!$D$2:$D$1001,Данные!$B$2:$B$1001,$A9,Данные!$C$2:$C$1001,"2024-09*")</f>
        <v>0</v>
      </c>
      <c r="O9" s="8" t="str">
        <f t="shared" si="0"/>
        <v>A</v>
      </c>
      <c r="P9" s="8" t="str">
        <f t="shared" si="1"/>
        <v>Z</v>
      </c>
      <c r="Q9" s="9">
        <f t="shared" si="2"/>
        <v>524640</v>
      </c>
    </row>
    <row r="10" spans="1:17" ht="14.25" customHeight="1" x14ac:dyDescent="0.25">
      <c r="A10" s="5" t="s">
        <v>305</v>
      </c>
      <c r="B10" s="5">
        <f>SUMIFS(Данные!$D$2:$D$1001,Данные!$B$2:$B$1001,$A10,Данные!$C$2:$C$1001,"2023-09*")</f>
        <v>0</v>
      </c>
      <c r="C10" s="5">
        <f>SUMIFS(Данные!$D$2:$D$1001,Данные!$B$2:$B$1001,$A10,Данные!$C$2:$C$1001,"2023-10*")</f>
        <v>0</v>
      </c>
      <c r="D10" s="5">
        <f>SUMIFS(Данные!$D$2:$D$1001,Данные!$B$2:$B$1001,$A10,Данные!$C$2:$C$1001,"2023-11*")</f>
        <v>0</v>
      </c>
      <c r="E10" s="5">
        <f>SUMIFS(Данные!$D$2:$D$1001,Данные!$B$2:$B$1001,$A10,Данные!$C$2:$C$1001,"2023-12*")</f>
        <v>0</v>
      </c>
      <c r="F10" s="5">
        <f>SUMIFS(Данные!$D$2:$D$1001,Данные!$B$2:$B$1001,$A10,Данные!$C$2:$C$1001,"2024-01*")</f>
        <v>0</v>
      </c>
      <c r="G10" s="5">
        <f>SUMIFS(Данные!$D$2:$D$1001,Данные!$B$2:$B$1001,$A10,Данные!$C$2:$C$1001,"2024-02*")</f>
        <v>78148</v>
      </c>
      <c r="H10" s="5">
        <f>SUMIFS(Данные!$D$2:$D$1001,Данные!$B$2:$B$1001,$A10,Данные!$C$2:$C$1001,"2024-03*")</f>
        <v>0</v>
      </c>
      <c r="I10" s="5">
        <f>SUMIFS(Данные!$D$2:$D$1001,Данные!$B$2:$B$1001,$A10,Данные!$C$2:$C$1001,"2024-04*")</f>
        <v>0</v>
      </c>
      <c r="J10" s="5">
        <f>SUMIFS(Данные!$D$2:$D$1001,Данные!$B$2:$B$1001,$A10,Данные!$C$2:$C$1001,"2024-05*")</f>
        <v>13492</v>
      </c>
      <c r="K10" s="5">
        <f>SUMIFS(Данные!$D$2:$D$1001,Данные!$B$2:$B$1001,$A10,Данные!$C$2:$C$1001,"2024-06*")</f>
        <v>39019</v>
      </c>
      <c r="L10" s="5">
        <f>SUMIFS(Данные!$D$2:$D$1001,Данные!$B$2:$B$1001,$A10,Данные!$C$2:$C$1001,"2024-07*")</f>
        <v>0</v>
      </c>
      <c r="M10" s="5">
        <f>SUMIFS(Данные!$D$2:$D$1001,Данные!$B$2:$B$1001,$A10,Данные!$C$2:$C$1001,"2024-08*")</f>
        <v>0</v>
      </c>
      <c r="N10" s="5">
        <f>SUMIFS(Данные!$D$2:$D$1001,Данные!$B$2:$B$1001,$A10,Данные!$C$2:$C$1001,"2024-09*")</f>
        <v>0</v>
      </c>
      <c r="O10" s="8" t="str">
        <f t="shared" si="0"/>
        <v>C</v>
      </c>
      <c r="P10" s="8" t="str">
        <f t="shared" si="1"/>
        <v>Z</v>
      </c>
      <c r="Q10" s="9">
        <f t="shared" si="2"/>
        <v>130659</v>
      </c>
    </row>
    <row r="11" spans="1:17" ht="14.25" customHeight="1" x14ac:dyDescent="0.25">
      <c r="A11" s="5" t="s">
        <v>284</v>
      </c>
      <c r="B11" s="5">
        <f>SUMIFS(Данные!$D$2:$D$1001,Данные!$B$2:$B$1001,$A11,Данные!$C$2:$C$1001,"2023-09*")</f>
        <v>0</v>
      </c>
      <c r="C11" s="5">
        <f>SUMIFS(Данные!$D$2:$D$1001,Данные!$B$2:$B$1001,$A11,Данные!$C$2:$C$1001,"2023-10*")</f>
        <v>0</v>
      </c>
      <c r="D11" s="5">
        <f>SUMIFS(Данные!$D$2:$D$1001,Данные!$B$2:$B$1001,$A11,Данные!$C$2:$C$1001,"2023-11*")</f>
        <v>0</v>
      </c>
      <c r="E11" s="5">
        <f>SUMIFS(Данные!$D$2:$D$1001,Данные!$B$2:$B$1001,$A11,Данные!$C$2:$C$1001,"2023-12*")</f>
        <v>0</v>
      </c>
      <c r="F11" s="5">
        <f>SUMIFS(Данные!$D$2:$D$1001,Данные!$B$2:$B$1001,$A11,Данные!$C$2:$C$1001,"2024-01*")</f>
        <v>40310</v>
      </c>
      <c r="G11" s="5">
        <f>SUMIFS(Данные!$D$2:$D$1001,Данные!$B$2:$B$1001,$A11,Данные!$C$2:$C$1001,"2024-02*")</f>
        <v>0</v>
      </c>
      <c r="H11" s="5">
        <f>SUMIFS(Данные!$D$2:$D$1001,Данные!$B$2:$B$1001,$A11,Данные!$C$2:$C$1001,"2024-03*")</f>
        <v>0</v>
      </c>
      <c r="I11" s="5">
        <f>SUMIFS(Данные!$D$2:$D$1001,Данные!$B$2:$B$1001,$A11,Данные!$C$2:$C$1001,"2024-04*")</f>
        <v>0</v>
      </c>
      <c r="J11" s="5">
        <f>SUMIFS(Данные!$D$2:$D$1001,Данные!$B$2:$B$1001,$A11,Данные!$C$2:$C$1001,"2024-05*")</f>
        <v>0</v>
      </c>
      <c r="K11" s="5">
        <f>SUMIFS(Данные!$D$2:$D$1001,Данные!$B$2:$B$1001,$A11,Данные!$C$2:$C$1001,"2024-06*")</f>
        <v>0</v>
      </c>
      <c r="L11" s="5">
        <f>SUMIFS(Данные!$D$2:$D$1001,Данные!$B$2:$B$1001,$A11,Данные!$C$2:$C$1001,"2024-07*")</f>
        <v>92202</v>
      </c>
      <c r="M11" s="5">
        <f>SUMIFS(Данные!$D$2:$D$1001,Данные!$B$2:$B$1001,$A11,Данные!$C$2:$C$1001,"2024-08*")</f>
        <v>12445</v>
      </c>
      <c r="N11" s="5">
        <f>SUMIFS(Данные!$D$2:$D$1001,Данные!$B$2:$B$1001,$A11,Данные!$C$2:$C$1001,"2024-09*")</f>
        <v>0</v>
      </c>
      <c r="O11" s="8" t="str">
        <f t="shared" si="0"/>
        <v>B</v>
      </c>
      <c r="P11" s="8" t="str">
        <f t="shared" si="1"/>
        <v>Z</v>
      </c>
      <c r="Q11" s="9">
        <f t="shared" si="2"/>
        <v>144957</v>
      </c>
    </row>
    <row r="12" spans="1:17" ht="14.25" customHeight="1" x14ac:dyDescent="0.25">
      <c r="A12" s="5" t="s">
        <v>184</v>
      </c>
      <c r="B12" s="5">
        <f>SUMIFS(Данные!$D$2:$D$1001,Данные!$B$2:$B$1001,$A12,Данные!$C$2:$C$1001,"2023-09*")</f>
        <v>0</v>
      </c>
      <c r="C12" s="5">
        <f>SUMIFS(Данные!$D$2:$D$1001,Данные!$B$2:$B$1001,$A12,Данные!$C$2:$C$1001,"2023-10*")</f>
        <v>0</v>
      </c>
      <c r="D12" s="5">
        <f>SUMIFS(Данные!$D$2:$D$1001,Данные!$B$2:$B$1001,$A12,Данные!$C$2:$C$1001,"2023-11*")</f>
        <v>115776</v>
      </c>
      <c r="E12" s="5">
        <f>SUMIFS(Данные!$D$2:$D$1001,Данные!$B$2:$B$1001,$A12,Данные!$C$2:$C$1001,"2023-12*")</f>
        <v>0</v>
      </c>
      <c r="F12" s="5">
        <f>SUMIFS(Данные!$D$2:$D$1001,Данные!$B$2:$B$1001,$A12,Данные!$C$2:$C$1001,"2024-01*")</f>
        <v>98470</v>
      </c>
      <c r="G12" s="5">
        <f>SUMIFS(Данные!$D$2:$D$1001,Данные!$B$2:$B$1001,$A12,Данные!$C$2:$C$1001,"2024-02*")</f>
        <v>0</v>
      </c>
      <c r="H12" s="5">
        <f>SUMIFS(Данные!$D$2:$D$1001,Данные!$B$2:$B$1001,$A12,Данные!$C$2:$C$1001,"2024-03*")</f>
        <v>0</v>
      </c>
      <c r="I12" s="5">
        <f>SUMIFS(Данные!$D$2:$D$1001,Данные!$B$2:$B$1001,$A12,Данные!$C$2:$C$1001,"2024-04*")</f>
        <v>0</v>
      </c>
      <c r="J12" s="5">
        <f>SUMIFS(Данные!$D$2:$D$1001,Данные!$B$2:$B$1001,$A12,Данные!$C$2:$C$1001,"2024-05*")</f>
        <v>0</v>
      </c>
      <c r="K12" s="5">
        <f>SUMIFS(Данные!$D$2:$D$1001,Данные!$B$2:$B$1001,$A12,Данные!$C$2:$C$1001,"2024-06*")</f>
        <v>57855</v>
      </c>
      <c r="L12" s="5">
        <f>SUMIFS(Данные!$D$2:$D$1001,Данные!$B$2:$B$1001,$A12,Данные!$C$2:$C$1001,"2024-07*")</f>
        <v>93609</v>
      </c>
      <c r="M12" s="5">
        <f>SUMIFS(Данные!$D$2:$D$1001,Данные!$B$2:$B$1001,$A12,Данные!$C$2:$C$1001,"2024-08*")</f>
        <v>0</v>
      </c>
      <c r="N12" s="5">
        <f>SUMIFS(Данные!$D$2:$D$1001,Данные!$B$2:$B$1001,$A12,Данные!$C$2:$C$1001,"2024-09*")</f>
        <v>0</v>
      </c>
      <c r="O12" s="8" t="str">
        <f t="shared" si="0"/>
        <v>A</v>
      </c>
      <c r="P12" s="8" t="str">
        <f t="shared" si="1"/>
        <v>Z</v>
      </c>
      <c r="Q12" s="9">
        <f t="shared" si="2"/>
        <v>365710</v>
      </c>
    </row>
    <row r="13" spans="1:17" ht="14.25" customHeight="1" x14ac:dyDescent="0.25">
      <c r="A13" s="5" t="s">
        <v>129</v>
      </c>
      <c r="B13" s="5">
        <f>SUMIFS(Данные!$D$2:$D$1001,Данные!$B$2:$B$1001,$A13,Данные!$C$2:$C$1001,"2023-09*")</f>
        <v>0</v>
      </c>
      <c r="C13" s="5">
        <f>SUMIFS(Данные!$D$2:$D$1001,Данные!$B$2:$B$1001,$A13,Данные!$C$2:$C$1001,"2023-10*")</f>
        <v>107605</v>
      </c>
      <c r="D13" s="5">
        <f>SUMIFS(Данные!$D$2:$D$1001,Данные!$B$2:$B$1001,$A13,Данные!$C$2:$C$1001,"2023-11*")</f>
        <v>37166</v>
      </c>
      <c r="E13" s="5">
        <f>SUMIFS(Данные!$D$2:$D$1001,Данные!$B$2:$B$1001,$A13,Данные!$C$2:$C$1001,"2023-12*")</f>
        <v>0</v>
      </c>
      <c r="F13" s="5">
        <f>SUMIFS(Данные!$D$2:$D$1001,Данные!$B$2:$B$1001,$A13,Данные!$C$2:$C$1001,"2024-01*")</f>
        <v>0</v>
      </c>
      <c r="G13" s="5">
        <f>SUMIFS(Данные!$D$2:$D$1001,Данные!$B$2:$B$1001,$A13,Данные!$C$2:$C$1001,"2024-02*")</f>
        <v>32356</v>
      </c>
      <c r="H13" s="5">
        <f>SUMIFS(Данные!$D$2:$D$1001,Данные!$B$2:$B$1001,$A13,Данные!$C$2:$C$1001,"2024-03*")</f>
        <v>0</v>
      </c>
      <c r="I13" s="5">
        <f>SUMIFS(Данные!$D$2:$D$1001,Данные!$B$2:$B$1001,$A13,Данные!$C$2:$C$1001,"2024-04*")</f>
        <v>86581</v>
      </c>
      <c r="J13" s="5">
        <f>SUMIFS(Данные!$D$2:$D$1001,Данные!$B$2:$B$1001,$A13,Данные!$C$2:$C$1001,"2024-05*")</f>
        <v>0</v>
      </c>
      <c r="K13" s="5">
        <f>SUMIFS(Данные!$D$2:$D$1001,Данные!$B$2:$B$1001,$A13,Данные!$C$2:$C$1001,"2024-06*")</f>
        <v>0</v>
      </c>
      <c r="L13" s="5">
        <f>SUMIFS(Данные!$D$2:$D$1001,Данные!$B$2:$B$1001,$A13,Данные!$C$2:$C$1001,"2024-07*")</f>
        <v>90269</v>
      </c>
      <c r="M13" s="5">
        <f>SUMIFS(Данные!$D$2:$D$1001,Данные!$B$2:$B$1001,$A13,Данные!$C$2:$C$1001,"2024-08*")</f>
        <v>78848</v>
      </c>
      <c r="N13" s="5">
        <f>SUMIFS(Данные!$D$2:$D$1001,Данные!$B$2:$B$1001,$A13,Данные!$C$2:$C$1001,"2024-09*")</f>
        <v>0</v>
      </c>
      <c r="O13" s="8" t="str">
        <f t="shared" si="0"/>
        <v>A</v>
      </c>
      <c r="P13" s="8" t="str">
        <f t="shared" si="1"/>
        <v>Z</v>
      </c>
      <c r="Q13" s="9">
        <f t="shared" si="2"/>
        <v>432825</v>
      </c>
    </row>
    <row r="14" spans="1:17" ht="14.25" customHeight="1" x14ac:dyDescent="0.25">
      <c r="A14" s="5" t="s">
        <v>293</v>
      </c>
      <c r="B14" s="5">
        <f>SUMIFS(Данные!$D$2:$D$1001,Данные!$B$2:$B$1001,$A14,Данные!$C$2:$C$1001,"2023-09*")</f>
        <v>0</v>
      </c>
      <c r="C14" s="5">
        <f>SUMIFS(Данные!$D$2:$D$1001,Данные!$B$2:$B$1001,$A14,Данные!$C$2:$C$1001,"2023-10*")</f>
        <v>0</v>
      </c>
      <c r="D14" s="5">
        <f>SUMIFS(Данные!$D$2:$D$1001,Данные!$B$2:$B$1001,$A14,Данные!$C$2:$C$1001,"2023-11*")</f>
        <v>0</v>
      </c>
      <c r="E14" s="5">
        <f>SUMIFS(Данные!$D$2:$D$1001,Данные!$B$2:$B$1001,$A14,Данные!$C$2:$C$1001,"2023-12*")</f>
        <v>0</v>
      </c>
      <c r="F14" s="5">
        <f>SUMIFS(Данные!$D$2:$D$1001,Данные!$B$2:$B$1001,$A14,Данные!$C$2:$C$1001,"2024-01*")</f>
        <v>78032</v>
      </c>
      <c r="G14" s="5">
        <f>SUMIFS(Данные!$D$2:$D$1001,Данные!$B$2:$B$1001,$A14,Данные!$C$2:$C$1001,"2024-02*")</f>
        <v>0</v>
      </c>
      <c r="H14" s="5">
        <f>SUMIFS(Данные!$D$2:$D$1001,Данные!$B$2:$B$1001,$A14,Данные!$C$2:$C$1001,"2024-03*")</f>
        <v>0</v>
      </c>
      <c r="I14" s="5">
        <f>SUMIFS(Данные!$D$2:$D$1001,Данные!$B$2:$B$1001,$A14,Данные!$C$2:$C$1001,"2024-04*")</f>
        <v>0</v>
      </c>
      <c r="J14" s="5">
        <f>SUMIFS(Данные!$D$2:$D$1001,Данные!$B$2:$B$1001,$A14,Данные!$C$2:$C$1001,"2024-05*")</f>
        <v>0</v>
      </c>
      <c r="K14" s="5">
        <f>SUMIFS(Данные!$D$2:$D$1001,Данные!$B$2:$B$1001,$A14,Данные!$C$2:$C$1001,"2024-06*")</f>
        <v>0</v>
      </c>
      <c r="L14" s="5">
        <f>SUMIFS(Данные!$D$2:$D$1001,Данные!$B$2:$B$1001,$A14,Данные!$C$2:$C$1001,"2024-07*")</f>
        <v>0</v>
      </c>
      <c r="M14" s="5">
        <f>SUMIFS(Данные!$D$2:$D$1001,Данные!$B$2:$B$1001,$A14,Данные!$C$2:$C$1001,"2024-08*")</f>
        <v>0</v>
      </c>
      <c r="N14" s="5">
        <f>SUMIFS(Данные!$D$2:$D$1001,Данные!$B$2:$B$1001,$A14,Данные!$C$2:$C$1001,"2024-09*")</f>
        <v>0</v>
      </c>
      <c r="O14" s="8" t="str">
        <f t="shared" si="0"/>
        <v>C</v>
      </c>
      <c r="P14" s="8" t="str">
        <f t="shared" si="1"/>
        <v>Z</v>
      </c>
      <c r="Q14" s="9">
        <f t="shared" si="2"/>
        <v>78032</v>
      </c>
    </row>
    <row r="15" spans="1:17" ht="14.25" customHeight="1" x14ac:dyDescent="0.25">
      <c r="A15" s="5" t="s">
        <v>292</v>
      </c>
      <c r="B15" s="5">
        <f>SUMIFS(Данные!$D$2:$D$1001,Данные!$B$2:$B$1001,$A15,Данные!$C$2:$C$1001,"2023-09*")</f>
        <v>0</v>
      </c>
      <c r="C15" s="5">
        <f>SUMIFS(Данные!$D$2:$D$1001,Данные!$B$2:$B$1001,$A15,Данные!$C$2:$C$1001,"2023-10*")</f>
        <v>0</v>
      </c>
      <c r="D15" s="5">
        <f>SUMIFS(Данные!$D$2:$D$1001,Данные!$B$2:$B$1001,$A15,Данные!$C$2:$C$1001,"2023-11*")</f>
        <v>0</v>
      </c>
      <c r="E15" s="5">
        <f>SUMIFS(Данные!$D$2:$D$1001,Данные!$B$2:$B$1001,$A15,Данные!$C$2:$C$1001,"2023-12*")</f>
        <v>0</v>
      </c>
      <c r="F15" s="5">
        <f>SUMIFS(Данные!$D$2:$D$1001,Данные!$B$2:$B$1001,$A15,Данные!$C$2:$C$1001,"2024-01*")</f>
        <v>97381</v>
      </c>
      <c r="G15" s="5">
        <f>SUMIFS(Данные!$D$2:$D$1001,Данные!$B$2:$B$1001,$A15,Данные!$C$2:$C$1001,"2024-02*")</f>
        <v>0</v>
      </c>
      <c r="H15" s="5">
        <f>SUMIFS(Данные!$D$2:$D$1001,Данные!$B$2:$B$1001,$A15,Данные!$C$2:$C$1001,"2024-03*")</f>
        <v>72303</v>
      </c>
      <c r="I15" s="5">
        <f>SUMIFS(Данные!$D$2:$D$1001,Данные!$B$2:$B$1001,$A15,Данные!$C$2:$C$1001,"2024-04*")</f>
        <v>0</v>
      </c>
      <c r="J15" s="5">
        <f>SUMIFS(Данные!$D$2:$D$1001,Данные!$B$2:$B$1001,$A15,Данные!$C$2:$C$1001,"2024-05*")</f>
        <v>75919</v>
      </c>
      <c r="K15" s="5">
        <f>SUMIFS(Данные!$D$2:$D$1001,Данные!$B$2:$B$1001,$A15,Данные!$C$2:$C$1001,"2024-06*")</f>
        <v>0</v>
      </c>
      <c r="L15" s="5">
        <f>SUMIFS(Данные!$D$2:$D$1001,Данные!$B$2:$B$1001,$A15,Данные!$C$2:$C$1001,"2024-07*")</f>
        <v>0</v>
      </c>
      <c r="M15" s="5">
        <f>SUMIFS(Данные!$D$2:$D$1001,Данные!$B$2:$B$1001,$A15,Данные!$C$2:$C$1001,"2024-08*")</f>
        <v>0</v>
      </c>
      <c r="N15" s="5">
        <f>SUMIFS(Данные!$D$2:$D$1001,Данные!$B$2:$B$1001,$A15,Данные!$C$2:$C$1001,"2024-09*")</f>
        <v>0</v>
      </c>
      <c r="O15" s="8" t="str">
        <f t="shared" si="0"/>
        <v>A</v>
      </c>
      <c r="P15" s="8" t="str">
        <f t="shared" si="1"/>
        <v>Z</v>
      </c>
      <c r="Q15" s="9">
        <f t="shared" si="2"/>
        <v>245603</v>
      </c>
    </row>
    <row r="16" spans="1:17" ht="14.25" customHeight="1" x14ac:dyDescent="0.25">
      <c r="A16" s="5" t="s">
        <v>155</v>
      </c>
      <c r="B16" s="5">
        <f>SUMIFS(Данные!$D$2:$D$1001,Данные!$B$2:$B$1001,$A16,Данные!$C$2:$C$1001,"2023-09*")</f>
        <v>0</v>
      </c>
      <c r="C16" s="5">
        <f>SUMIFS(Данные!$D$2:$D$1001,Данные!$B$2:$B$1001,$A16,Данные!$C$2:$C$1001,"2023-10*")</f>
        <v>68274</v>
      </c>
      <c r="D16" s="5">
        <f>SUMIFS(Данные!$D$2:$D$1001,Данные!$B$2:$B$1001,$A16,Данные!$C$2:$C$1001,"2023-11*")</f>
        <v>0</v>
      </c>
      <c r="E16" s="5">
        <f>SUMIFS(Данные!$D$2:$D$1001,Данные!$B$2:$B$1001,$A16,Данные!$C$2:$C$1001,"2023-12*")</f>
        <v>0</v>
      </c>
      <c r="F16" s="5">
        <f>SUMIFS(Данные!$D$2:$D$1001,Данные!$B$2:$B$1001,$A16,Данные!$C$2:$C$1001,"2024-01*")</f>
        <v>0</v>
      </c>
      <c r="G16" s="5">
        <f>SUMIFS(Данные!$D$2:$D$1001,Данные!$B$2:$B$1001,$A16,Данные!$C$2:$C$1001,"2024-02*")</f>
        <v>0</v>
      </c>
      <c r="H16" s="5">
        <f>SUMIFS(Данные!$D$2:$D$1001,Данные!$B$2:$B$1001,$A16,Данные!$C$2:$C$1001,"2024-03*")</f>
        <v>0</v>
      </c>
      <c r="I16" s="5">
        <f>SUMIFS(Данные!$D$2:$D$1001,Данные!$B$2:$B$1001,$A16,Данные!$C$2:$C$1001,"2024-04*")</f>
        <v>0</v>
      </c>
      <c r="J16" s="5">
        <f>SUMIFS(Данные!$D$2:$D$1001,Данные!$B$2:$B$1001,$A16,Данные!$C$2:$C$1001,"2024-05*")</f>
        <v>128128</v>
      </c>
      <c r="K16" s="5">
        <f>SUMIFS(Данные!$D$2:$D$1001,Данные!$B$2:$B$1001,$A16,Данные!$C$2:$C$1001,"2024-06*")</f>
        <v>0</v>
      </c>
      <c r="L16" s="5">
        <f>SUMIFS(Данные!$D$2:$D$1001,Данные!$B$2:$B$1001,$A16,Данные!$C$2:$C$1001,"2024-07*")</f>
        <v>0</v>
      </c>
      <c r="M16" s="5">
        <f>SUMIFS(Данные!$D$2:$D$1001,Данные!$B$2:$B$1001,$A16,Данные!$C$2:$C$1001,"2024-08*")</f>
        <v>0</v>
      </c>
      <c r="N16" s="5">
        <f>SUMIFS(Данные!$D$2:$D$1001,Данные!$B$2:$B$1001,$A16,Данные!$C$2:$C$1001,"2024-09*")</f>
        <v>0</v>
      </c>
      <c r="O16" s="8" t="str">
        <f t="shared" si="0"/>
        <v>B</v>
      </c>
      <c r="P16" s="8" t="str">
        <f t="shared" si="1"/>
        <v>Z</v>
      </c>
      <c r="Q16" s="9">
        <f t="shared" si="2"/>
        <v>196402</v>
      </c>
    </row>
    <row r="17" spans="1:21" ht="14.25" customHeight="1" x14ac:dyDescent="0.25">
      <c r="A17" s="5" t="s">
        <v>139</v>
      </c>
      <c r="B17" s="5">
        <f>SUMIFS(Данные!$D$2:$D$1001,Данные!$B$2:$B$1001,$A17,Данные!$C$2:$C$1001,"2023-09*")</f>
        <v>0</v>
      </c>
      <c r="C17" s="5">
        <f>SUMIFS(Данные!$D$2:$D$1001,Данные!$B$2:$B$1001,$A17,Данные!$C$2:$C$1001,"2023-10*")</f>
        <v>87353</v>
      </c>
      <c r="D17" s="5">
        <f>SUMIFS(Данные!$D$2:$D$1001,Данные!$B$2:$B$1001,$A17,Данные!$C$2:$C$1001,"2023-11*")</f>
        <v>0</v>
      </c>
      <c r="E17" s="5">
        <f>SUMIFS(Данные!$D$2:$D$1001,Данные!$B$2:$B$1001,$A17,Данные!$C$2:$C$1001,"2023-12*")</f>
        <v>0</v>
      </c>
      <c r="F17" s="5">
        <f>SUMIFS(Данные!$D$2:$D$1001,Данные!$B$2:$B$1001,$A17,Данные!$C$2:$C$1001,"2024-01*")</f>
        <v>0</v>
      </c>
      <c r="G17" s="5">
        <f>SUMIFS(Данные!$D$2:$D$1001,Данные!$B$2:$B$1001,$A17,Данные!$C$2:$C$1001,"2024-02*")</f>
        <v>0</v>
      </c>
      <c r="H17" s="5">
        <f>SUMIFS(Данные!$D$2:$D$1001,Данные!$B$2:$B$1001,$A17,Данные!$C$2:$C$1001,"2024-03*")</f>
        <v>0</v>
      </c>
      <c r="I17" s="5">
        <f>SUMIFS(Данные!$D$2:$D$1001,Данные!$B$2:$B$1001,$A17,Данные!$C$2:$C$1001,"2024-04*")</f>
        <v>84926</v>
      </c>
      <c r="J17" s="5">
        <f>SUMIFS(Данные!$D$2:$D$1001,Данные!$B$2:$B$1001,$A17,Данные!$C$2:$C$1001,"2024-05*")</f>
        <v>46287</v>
      </c>
      <c r="K17" s="5">
        <f>SUMIFS(Данные!$D$2:$D$1001,Данные!$B$2:$B$1001,$A17,Данные!$C$2:$C$1001,"2024-06*")</f>
        <v>0</v>
      </c>
      <c r="L17" s="5">
        <f>SUMIFS(Данные!$D$2:$D$1001,Данные!$B$2:$B$1001,$A17,Данные!$C$2:$C$1001,"2024-07*")</f>
        <v>0</v>
      </c>
      <c r="M17" s="5">
        <f>SUMIFS(Данные!$D$2:$D$1001,Данные!$B$2:$B$1001,$A17,Данные!$C$2:$C$1001,"2024-08*")</f>
        <v>15167</v>
      </c>
      <c r="N17" s="5">
        <f>SUMIFS(Данные!$D$2:$D$1001,Данные!$B$2:$B$1001,$A17,Данные!$C$2:$C$1001,"2024-09*")</f>
        <v>0</v>
      </c>
      <c r="O17" s="8" t="str">
        <f t="shared" si="0"/>
        <v>A</v>
      </c>
      <c r="P17" s="8" t="str">
        <f t="shared" si="1"/>
        <v>Z</v>
      </c>
      <c r="Q17" s="9">
        <f t="shared" si="2"/>
        <v>233733</v>
      </c>
      <c r="S17" s="1">
        <f t="shared" ref="S17:U19" si="3">COUNTIFS($O$2:$O$198,$R17,$P$2:$P$198,S$16)</f>
        <v>0</v>
      </c>
      <c r="T17" s="1">
        <f t="shared" si="3"/>
        <v>0</v>
      </c>
      <c r="U17" s="1">
        <f t="shared" si="3"/>
        <v>0</v>
      </c>
    </row>
    <row r="18" spans="1:21" ht="14.25" customHeight="1" x14ac:dyDescent="0.25">
      <c r="A18" s="5" t="s">
        <v>9</v>
      </c>
      <c r="B18" s="5">
        <f>SUMIFS(Данные!$D$2:$D$1001,Данные!$B$2:$B$1001,$A18,Данные!$C$2:$C$1001,"2023-09*")</f>
        <v>61171</v>
      </c>
      <c r="C18" s="5">
        <f>SUMIFS(Данные!$D$2:$D$1001,Данные!$B$2:$B$1001,$A18,Данные!$C$2:$C$1001,"2023-10*")</f>
        <v>0</v>
      </c>
      <c r="D18" s="5">
        <f>SUMIFS(Данные!$D$2:$D$1001,Данные!$B$2:$B$1001,$A18,Данные!$C$2:$C$1001,"2023-11*")</f>
        <v>22271</v>
      </c>
      <c r="E18" s="5">
        <f>SUMIFS(Данные!$D$2:$D$1001,Данные!$B$2:$B$1001,$A18,Данные!$C$2:$C$1001,"2023-12*")</f>
        <v>0</v>
      </c>
      <c r="F18" s="5">
        <f>SUMIFS(Данные!$D$2:$D$1001,Данные!$B$2:$B$1001,$A18,Данные!$C$2:$C$1001,"2024-01*")</f>
        <v>0</v>
      </c>
      <c r="G18" s="5">
        <f>SUMIFS(Данные!$D$2:$D$1001,Данные!$B$2:$B$1001,$A18,Данные!$C$2:$C$1001,"2024-02*")</f>
        <v>54338</v>
      </c>
      <c r="H18" s="5">
        <f>SUMIFS(Данные!$D$2:$D$1001,Данные!$B$2:$B$1001,$A18,Данные!$C$2:$C$1001,"2024-03*")</f>
        <v>0</v>
      </c>
      <c r="I18" s="5">
        <f>SUMIFS(Данные!$D$2:$D$1001,Данные!$B$2:$B$1001,$A18,Данные!$C$2:$C$1001,"2024-04*")</f>
        <v>161839</v>
      </c>
      <c r="J18" s="5">
        <f>SUMIFS(Данные!$D$2:$D$1001,Данные!$B$2:$B$1001,$A18,Данные!$C$2:$C$1001,"2024-05*")</f>
        <v>0</v>
      </c>
      <c r="K18" s="5">
        <f>SUMIFS(Данные!$D$2:$D$1001,Данные!$B$2:$B$1001,$A18,Данные!$C$2:$C$1001,"2024-06*")</f>
        <v>0</v>
      </c>
      <c r="L18" s="5">
        <f>SUMIFS(Данные!$D$2:$D$1001,Данные!$B$2:$B$1001,$A18,Данные!$C$2:$C$1001,"2024-07*")</f>
        <v>0</v>
      </c>
      <c r="M18" s="5">
        <f>SUMIFS(Данные!$D$2:$D$1001,Данные!$B$2:$B$1001,$A18,Данные!$C$2:$C$1001,"2024-08*")</f>
        <v>0</v>
      </c>
      <c r="N18" s="5">
        <f>SUMIFS(Данные!$D$2:$D$1001,Данные!$B$2:$B$1001,$A18,Данные!$C$2:$C$1001,"2024-09*")</f>
        <v>0</v>
      </c>
      <c r="O18" s="8" t="str">
        <f t="shared" si="0"/>
        <v>A</v>
      </c>
      <c r="P18" s="8" t="str">
        <f t="shared" si="1"/>
        <v>Z</v>
      </c>
      <c r="Q18" s="9">
        <f t="shared" si="2"/>
        <v>299619</v>
      </c>
      <c r="S18" s="1">
        <f t="shared" si="3"/>
        <v>0</v>
      </c>
      <c r="T18" s="1">
        <f t="shared" si="3"/>
        <v>0</v>
      </c>
      <c r="U18" s="1">
        <f t="shared" si="3"/>
        <v>0</v>
      </c>
    </row>
    <row r="19" spans="1:21" ht="14.25" customHeight="1" x14ac:dyDescent="0.25">
      <c r="A19" s="5" t="s">
        <v>251</v>
      </c>
      <c r="B19" s="5">
        <f>SUMIFS(Данные!$D$2:$D$1001,Данные!$B$2:$B$1001,$A19,Данные!$C$2:$C$1001,"2023-09*")</f>
        <v>0</v>
      </c>
      <c r="C19" s="5">
        <f>SUMIFS(Данные!$D$2:$D$1001,Данные!$B$2:$B$1001,$A19,Данные!$C$2:$C$1001,"2023-10*")</f>
        <v>0</v>
      </c>
      <c r="D19" s="5">
        <f>SUMIFS(Данные!$D$2:$D$1001,Данные!$B$2:$B$1001,$A19,Данные!$C$2:$C$1001,"2023-11*")</f>
        <v>0</v>
      </c>
      <c r="E19" s="5">
        <f>SUMIFS(Данные!$D$2:$D$1001,Данные!$B$2:$B$1001,$A19,Данные!$C$2:$C$1001,"2023-12*")</f>
        <v>107222</v>
      </c>
      <c r="F19" s="5">
        <f>SUMIFS(Данные!$D$2:$D$1001,Данные!$B$2:$B$1001,$A19,Данные!$C$2:$C$1001,"2024-01*")</f>
        <v>116753</v>
      </c>
      <c r="G19" s="5">
        <f>SUMIFS(Данные!$D$2:$D$1001,Данные!$B$2:$B$1001,$A19,Данные!$C$2:$C$1001,"2024-02*")</f>
        <v>0</v>
      </c>
      <c r="H19" s="5">
        <f>SUMIFS(Данные!$D$2:$D$1001,Данные!$B$2:$B$1001,$A19,Данные!$C$2:$C$1001,"2024-03*")</f>
        <v>70295</v>
      </c>
      <c r="I19" s="5">
        <f>SUMIFS(Данные!$D$2:$D$1001,Данные!$B$2:$B$1001,$A19,Данные!$C$2:$C$1001,"2024-04*")</f>
        <v>64211</v>
      </c>
      <c r="J19" s="5">
        <f>SUMIFS(Данные!$D$2:$D$1001,Данные!$B$2:$B$1001,$A19,Данные!$C$2:$C$1001,"2024-05*")</f>
        <v>81215</v>
      </c>
      <c r="K19" s="5">
        <f>SUMIFS(Данные!$D$2:$D$1001,Данные!$B$2:$B$1001,$A19,Данные!$C$2:$C$1001,"2024-06*")</f>
        <v>0</v>
      </c>
      <c r="L19" s="5">
        <f>SUMIFS(Данные!$D$2:$D$1001,Данные!$B$2:$B$1001,$A19,Данные!$C$2:$C$1001,"2024-07*")</f>
        <v>91979</v>
      </c>
      <c r="M19" s="5">
        <f>SUMIFS(Данные!$D$2:$D$1001,Данные!$B$2:$B$1001,$A19,Данные!$C$2:$C$1001,"2024-08*")</f>
        <v>0</v>
      </c>
      <c r="N19" s="5">
        <f>SUMIFS(Данные!$D$2:$D$1001,Данные!$B$2:$B$1001,$A19,Данные!$C$2:$C$1001,"2024-09*")</f>
        <v>0</v>
      </c>
      <c r="O19" s="8" t="str">
        <f t="shared" si="0"/>
        <v>A</v>
      </c>
      <c r="P19" s="8" t="str">
        <f t="shared" si="1"/>
        <v>Z</v>
      </c>
      <c r="Q19" s="9">
        <f t="shared" si="2"/>
        <v>531675</v>
      </c>
      <c r="S19" s="1">
        <f t="shared" si="3"/>
        <v>0</v>
      </c>
      <c r="T19" s="1">
        <f t="shared" si="3"/>
        <v>0</v>
      </c>
      <c r="U19" s="1">
        <f t="shared" si="3"/>
        <v>0</v>
      </c>
    </row>
    <row r="20" spans="1:21" ht="14.25" customHeight="1" x14ac:dyDescent="0.25">
      <c r="A20" s="5" t="s">
        <v>115</v>
      </c>
      <c r="B20" s="5">
        <f>SUMIFS(Данные!$D$2:$D$1001,Данные!$B$2:$B$1001,$A20,Данные!$C$2:$C$1001,"2023-09*")</f>
        <v>0</v>
      </c>
      <c r="C20" s="5">
        <f>SUMIFS(Данные!$D$2:$D$1001,Данные!$B$2:$B$1001,$A20,Данные!$C$2:$C$1001,"2023-10*")</f>
        <v>92341</v>
      </c>
      <c r="D20" s="5">
        <f>SUMIFS(Данные!$D$2:$D$1001,Данные!$B$2:$B$1001,$A20,Данные!$C$2:$C$1001,"2023-11*")</f>
        <v>0</v>
      </c>
      <c r="E20" s="5">
        <f>SUMIFS(Данные!$D$2:$D$1001,Данные!$B$2:$B$1001,$A20,Данные!$C$2:$C$1001,"2023-12*")</f>
        <v>0</v>
      </c>
      <c r="F20" s="5">
        <f>SUMIFS(Данные!$D$2:$D$1001,Данные!$B$2:$B$1001,$A20,Данные!$C$2:$C$1001,"2024-01*")</f>
        <v>0</v>
      </c>
      <c r="G20" s="5">
        <f>SUMIFS(Данные!$D$2:$D$1001,Данные!$B$2:$B$1001,$A20,Данные!$C$2:$C$1001,"2024-02*")</f>
        <v>41313</v>
      </c>
      <c r="H20" s="5">
        <f>SUMIFS(Данные!$D$2:$D$1001,Данные!$B$2:$B$1001,$A20,Данные!$C$2:$C$1001,"2024-03*")</f>
        <v>0</v>
      </c>
      <c r="I20" s="5">
        <f>SUMIFS(Данные!$D$2:$D$1001,Данные!$B$2:$B$1001,$A20,Данные!$C$2:$C$1001,"2024-04*")</f>
        <v>40031</v>
      </c>
      <c r="J20" s="5">
        <f>SUMIFS(Данные!$D$2:$D$1001,Данные!$B$2:$B$1001,$A20,Данные!$C$2:$C$1001,"2024-05*")</f>
        <v>46263</v>
      </c>
      <c r="K20" s="5">
        <f>SUMIFS(Данные!$D$2:$D$1001,Данные!$B$2:$B$1001,$A20,Данные!$C$2:$C$1001,"2024-06*")</f>
        <v>0</v>
      </c>
      <c r="L20" s="5">
        <f>SUMIFS(Данные!$D$2:$D$1001,Данные!$B$2:$B$1001,$A20,Данные!$C$2:$C$1001,"2024-07*")</f>
        <v>20974</v>
      </c>
      <c r="M20" s="5">
        <f>SUMIFS(Данные!$D$2:$D$1001,Данные!$B$2:$B$1001,$A20,Данные!$C$2:$C$1001,"2024-08*")</f>
        <v>0</v>
      </c>
      <c r="N20" s="5">
        <f>SUMIFS(Данные!$D$2:$D$1001,Данные!$B$2:$B$1001,$A20,Данные!$C$2:$C$1001,"2024-09*")</f>
        <v>0</v>
      </c>
      <c r="O20" s="8" t="str">
        <f t="shared" si="0"/>
        <v>A</v>
      </c>
      <c r="P20" s="8" t="str">
        <f t="shared" si="1"/>
        <v>Z</v>
      </c>
      <c r="Q20" s="9">
        <f t="shared" si="2"/>
        <v>240922</v>
      </c>
    </row>
    <row r="21" spans="1:21" ht="14.25" customHeight="1" x14ac:dyDescent="0.25">
      <c r="A21" s="5" t="s">
        <v>359</v>
      </c>
      <c r="B21" s="5">
        <f>SUMIFS(Данные!$D$2:$D$1001,Данные!$B$2:$B$1001,$A21,Данные!$C$2:$C$1001,"2023-09*")</f>
        <v>0</v>
      </c>
      <c r="C21" s="5">
        <f>SUMIFS(Данные!$D$2:$D$1001,Данные!$B$2:$B$1001,$A21,Данные!$C$2:$C$1001,"2023-10*")</f>
        <v>0</v>
      </c>
      <c r="D21" s="5">
        <f>SUMIFS(Данные!$D$2:$D$1001,Данные!$B$2:$B$1001,$A21,Данные!$C$2:$C$1001,"2023-11*")</f>
        <v>0</v>
      </c>
      <c r="E21" s="5">
        <f>SUMIFS(Данные!$D$2:$D$1001,Данные!$B$2:$B$1001,$A21,Данные!$C$2:$C$1001,"2023-12*")</f>
        <v>0</v>
      </c>
      <c r="F21" s="5">
        <f>SUMIFS(Данные!$D$2:$D$1001,Данные!$B$2:$B$1001,$A21,Данные!$C$2:$C$1001,"2024-01*")</f>
        <v>0</v>
      </c>
      <c r="G21" s="5">
        <f>SUMIFS(Данные!$D$2:$D$1001,Данные!$B$2:$B$1001,$A21,Данные!$C$2:$C$1001,"2024-02*")</f>
        <v>0</v>
      </c>
      <c r="H21" s="5">
        <f>SUMIFS(Данные!$D$2:$D$1001,Данные!$B$2:$B$1001,$A21,Данные!$C$2:$C$1001,"2024-03*")</f>
        <v>0</v>
      </c>
      <c r="I21" s="5">
        <f>SUMIFS(Данные!$D$2:$D$1001,Данные!$B$2:$B$1001,$A21,Данные!$C$2:$C$1001,"2024-04*")</f>
        <v>33634</v>
      </c>
      <c r="J21" s="5">
        <f>SUMIFS(Данные!$D$2:$D$1001,Данные!$B$2:$B$1001,$A21,Данные!$C$2:$C$1001,"2024-05*")</f>
        <v>0</v>
      </c>
      <c r="K21" s="5">
        <f>SUMIFS(Данные!$D$2:$D$1001,Данные!$B$2:$B$1001,$A21,Данные!$C$2:$C$1001,"2024-06*")</f>
        <v>0</v>
      </c>
      <c r="L21" s="5">
        <f>SUMIFS(Данные!$D$2:$D$1001,Данные!$B$2:$B$1001,$A21,Данные!$C$2:$C$1001,"2024-07*")</f>
        <v>0</v>
      </c>
      <c r="M21" s="5">
        <f>SUMIFS(Данные!$D$2:$D$1001,Данные!$B$2:$B$1001,$A21,Данные!$C$2:$C$1001,"2024-08*")</f>
        <v>0</v>
      </c>
      <c r="N21" s="5">
        <f>SUMIFS(Данные!$D$2:$D$1001,Данные!$B$2:$B$1001,$A21,Данные!$C$2:$C$1001,"2024-09*")</f>
        <v>0</v>
      </c>
      <c r="O21" s="8" t="str">
        <f t="shared" si="0"/>
        <v>C</v>
      </c>
      <c r="P21" s="8" t="str">
        <f t="shared" si="1"/>
        <v>Z</v>
      </c>
      <c r="Q21" s="9">
        <f t="shared" si="2"/>
        <v>33634</v>
      </c>
    </row>
    <row r="22" spans="1:21" ht="14.25" customHeight="1" x14ac:dyDescent="0.25">
      <c r="A22" s="5" t="s">
        <v>247</v>
      </c>
      <c r="B22" s="5">
        <f>SUMIFS(Данные!$D$2:$D$1001,Данные!$B$2:$B$1001,$A22,Данные!$C$2:$C$1001,"2023-09*")</f>
        <v>0</v>
      </c>
      <c r="C22" s="5">
        <f>SUMIFS(Данные!$D$2:$D$1001,Данные!$B$2:$B$1001,$A22,Данные!$C$2:$C$1001,"2023-10*")</f>
        <v>0</v>
      </c>
      <c r="D22" s="5">
        <f>SUMIFS(Данные!$D$2:$D$1001,Данные!$B$2:$B$1001,$A22,Данные!$C$2:$C$1001,"2023-11*")</f>
        <v>0</v>
      </c>
      <c r="E22" s="5">
        <f>SUMIFS(Данные!$D$2:$D$1001,Данные!$B$2:$B$1001,$A22,Данные!$C$2:$C$1001,"2023-12*")</f>
        <v>81617</v>
      </c>
      <c r="F22" s="5">
        <f>SUMIFS(Данные!$D$2:$D$1001,Данные!$B$2:$B$1001,$A22,Данные!$C$2:$C$1001,"2024-01*")</f>
        <v>72385</v>
      </c>
      <c r="G22" s="5">
        <f>SUMIFS(Данные!$D$2:$D$1001,Данные!$B$2:$B$1001,$A22,Данные!$C$2:$C$1001,"2024-02*")</f>
        <v>57911</v>
      </c>
      <c r="H22" s="5">
        <f>SUMIFS(Данные!$D$2:$D$1001,Данные!$B$2:$B$1001,$A22,Данные!$C$2:$C$1001,"2024-03*")</f>
        <v>51536</v>
      </c>
      <c r="I22" s="5">
        <f>SUMIFS(Данные!$D$2:$D$1001,Данные!$B$2:$B$1001,$A22,Данные!$C$2:$C$1001,"2024-04*")</f>
        <v>0</v>
      </c>
      <c r="J22" s="5">
        <f>SUMIFS(Данные!$D$2:$D$1001,Данные!$B$2:$B$1001,$A22,Данные!$C$2:$C$1001,"2024-05*")</f>
        <v>0</v>
      </c>
      <c r="K22" s="5">
        <f>SUMIFS(Данные!$D$2:$D$1001,Данные!$B$2:$B$1001,$A22,Данные!$C$2:$C$1001,"2024-06*")</f>
        <v>0</v>
      </c>
      <c r="L22" s="5">
        <f>SUMIFS(Данные!$D$2:$D$1001,Данные!$B$2:$B$1001,$A22,Данные!$C$2:$C$1001,"2024-07*")</f>
        <v>81891</v>
      </c>
      <c r="M22" s="5">
        <f>SUMIFS(Данные!$D$2:$D$1001,Данные!$B$2:$B$1001,$A22,Данные!$C$2:$C$1001,"2024-08*")</f>
        <v>0</v>
      </c>
      <c r="N22" s="5">
        <f>SUMIFS(Данные!$D$2:$D$1001,Данные!$B$2:$B$1001,$A22,Данные!$C$2:$C$1001,"2024-09*")</f>
        <v>0</v>
      </c>
      <c r="O22" s="8" t="str">
        <f t="shared" si="0"/>
        <v>A</v>
      </c>
      <c r="P22" s="8" t="str">
        <f t="shared" si="1"/>
        <v>Z</v>
      </c>
      <c r="Q22" s="9">
        <f t="shared" si="2"/>
        <v>345340</v>
      </c>
    </row>
    <row r="23" spans="1:21" ht="14.25" customHeight="1" x14ac:dyDescent="0.25">
      <c r="A23" s="5" t="s">
        <v>210</v>
      </c>
      <c r="B23" s="5">
        <f>SUMIFS(Данные!$D$2:$D$1001,Данные!$B$2:$B$1001,$A23,Данные!$C$2:$C$1001,"2023-09*")</f>
        <v>0</v>
      </c>
      <c r="C23" s="5">
        <f>SUMIFS(Данные!$D$2:$D$1001,Данные!$B$2:$B$1001,$A23,Данные!$C$2:$C$1001,"2023-10*")</f>
        <v>0</v>
      </c>
      <c r="D23" s="5">
        <f>SUMIFS(Данные!$D$2:$D$1001,Данные!$B$2:$B$1001,$A23,Данные!$C$2:$C$1001,"2023-11*")</f>
        <v>26253</v>
      </c>
      <c r="E23" s="5">
        <f>SUMIFS(Данные!$D$2:$D$1001,Данные!$B$2:$B$1001,$A23,Данные!$C$2:$C$1001,"2023-12*")</f>
        <v>0</v>
      </c>
      <c r="F23" s="5">
        <f>SUMIFS(Данные!$D$2:$D$1001,Данные!$B$2:$B$1001,$A23,Данные!$C$2:$C$1001,"2024-01*")</f>
        <v>0</v>
      </c>
      <c r="G23" s="5">
        <f>SUMIFS(Данные!$D$2:$D$1001,Данные!$B$2:$B$1001,$A23,Данные!$C$2:$C$1001,"2024-02*")</f>
        <v>0</v>
      </c>
      <c r="H23" s="5">
        <f>SUMIFS(Данные!$D$2:$D$1001,Данные!$B$2:$B$1001,$A23,Данные!$C$2:$C$1001,"2024-03*")</f>
        <v>0</v>
      </c>
      <c r="I23" s="5">
        <f>SUMIFS(Данные!$D$2:$D$1001,Данные!$B$2:$B$1001,$A23,Данные!$C$2:$C$1001,"2024-04*")</f>
        <v>64082</v>
      </c>
      <c r="J23" s="5">
        <f>SUMIFS(Данные!$D$2:$D$1001,Данные!$B$2:$B$1001,$A23,Данные!$C$2:$C$1001,"2024-05*")</f>
        <v>89597</v>
      </c>
      <c r="K23" s="5">
        <f>SUMIFS(Данные!$D$2:$D$1001,Данные!$B$2:$B$1001,$A23,Данные!$C$2:$C$1001,"2024-06*")</f>
        <v>56825</v>
      </c>
      <c r="L23" s="5">
        <f>SUMIFS(Данные!$D$2:$D$1001,Данные!$B$2:$B$1001,$A23,Данные!$C$2:$C$1001,"2024-07*")</f>
        <v>0</v>
      </c>
      <c r="M23" s="5">
        <f>SUMIFS(Данные!$D$2:$D$1001,Данные!$B$2:$B$1001,$A23,Данные!$C$2:$C$1001,"2024-08*")</f>
        <v>0</v>
      </c>
      <c r="N23" s="5">
        <f>SUMIFS(Данные!$D$2:$D$1001,Данные!$B$2:$B$1001,$A23,Данные!$C$2:$C$1001,"2024-09*")</f>
        <v>0</v>
      </c>
      <c r="O23" s="8" t="str">
        <f t="shared" si="0"/>
        <v>A</v>
      </c>
      <c r="P23" s="8" t="str">
        <f t="shared" si="1"/>
        <v>Z</v>
      </c>
      <c r="Q23" s="9">
        <f t="shared" si="2"/>
        <v>236757</v>
      </c>
      <c r="S23" s="1">
        <f t="shared" ref="S23:U25" si="4">SUMIFS($Q$2:$Q$198,$O$2:$O$198,$R17,$P$2:$P$198,S$22)</f>
        <v>0</v>
      </c>
      <c r="T23" s="1">
        <f t="shared" si="4"/>
        <v>0</v>
      </c>
      <c r="U23" s="1">
        <f t="shared" si="4"/>
        <v>0</v>
      </c>
    </row>
    <row r="24" spans="1:21" ht="14.25" customHeight="1" x14ac:dyDescent="0.25">
      <c r="A24" s="5" t="s">
        <v>63</v>
      </c>
      <c r="B24" s="5">
        <f>SUMIFS(Данные!$D$2:$D$1001,Данные!$B$2:$B$1001,$A24,Данные!$C$2:$C$1001,"2023-09*")</f>
        <v>75443</v>
      </c>
      <c r="C24" s="5">
        <f>SUMIFS(Данные!$D$2:$D$1001,Данные!$B$2:$B$1001,$A24,Данные!$C$2:$C$1001,"2023-10*")</f>
        <v>0</v>
      </c>
      <c r="D24" s="5">
        <f>SUMIFS(Данные!$D$2:$D$1001,Данные!$B$2:$B$1001,$A24,Данные!$C$2:$C$1001,"2023-11*")</f>
        <v>37412</v>
      </c>
      <c r="E24" s="5">
        <f>SUMIFS(Данные!$D$2:$D$1001,Данные!$B$2:$B$1001,$A24,Данные!$C$2:$C$1001,"2023-12*")</f>
        <v>135865</v>
      </c>
      <c r="F24" s="5">
        <f>SUMIFS(Данные!$D$2:$D$1001,Данные!$B$2:$B$1001,$A24,Данные!$C$2:$C$1001,"2024-01*")</f>
        <v>0</v>
      </c>
      <c r="G24" s="5">
        <f>SUMIFS(Данные!$D$2:$D$1001,Данные!$B$2:$B$1001,$A24,Данные!$C$2:$C$1001,"2024-02*")</f>
        <v>0</v>
      </c>
      <c r="H24" s="5">
        <f>SUMIFS(Данные!$D$2:$D$1001,Данные!$B$2:$B$1001,$A24,Данные!$C$2:$C$1001,"2024-03*")</f>
        <v>0</v>
      </c>
      <c r="I24" s="5">
        <f>SUMIFS(Данные!$D$2:$D$1001,Данные!$B$2:$B$1001,$A24,Данные!$C$2:$C$1001,"2024-04*")</f>
        <v>74925</v>
      </c>
      <c r="J24" s="5">
        <f>SUMIFS(Данные!$D$2:$D$1001,Данные!$B$2:$B$1001,$A24,Данные!$C$2:$C$1001,"2024-05*")</f>
        <v>67688</v>
      </c>
      <c r="K24" s="5">
        <f>SUMIFS(Данные!$D$2:$D$1001,Данные!$B$2:$B$1001,$A24,Данные!$C$2:$C$1001,"2024-06*")</f>
        <v>0</v>
      </c>
      <c r="L24" s="5">
        <f>SUMIFS(Данные!$D$2:$D$1001,Данные!$B$2:$B$1001,$A24,Данные!$C$2:$C$1001,"2024-07*")</f>
        <v>0</v>
      </c>
      <c r="M24" s="5">
        <f>SUMIFS(Данные!$D$2:$D$1001,Данные!$B$2:$B$1001,$A24,Данные!$C$2:$C$1001,"2024-08*")</f>
        <v>0</v>
      </c>
      <c r="N24" s="5">
        <f>SUMIFS(Данные!$D$2:$D$1001,Данные!$B$2:$B$1001,$A24,Данные!$C$2:$C$1001,"2024-09*")</f>
        <v>0</v>
      </c>
      <c r="O24" s="8" t="str">
        <f t="shared" si="0"/>
        <v>A</v>
      </c>
      <c r="P24" s="8" t="str">
        <f t="shared" si="1"/>
        <v>Z</v>
      </c>
      <c r="Q24" s="9">
        <f t="shared" si="2"/>
        <v>391333</v>
      </c>
      <c r="S24" s="1">
        <f t="shared" si="4"/>
        <v>0</v>
      </c>
      <c r="T24" s="1">
        <f t="shared" si="4"/>
        <v>0</v>
      </c>
      <c r="U24" s="1">
        <f t="shared" si="4"/>
        <v>0</v>
      </c>
    </row>
    <row r="25" spans="1:21" ht="14.25" customHeight="1" x14ac:dyDescent="0.25">
      <c r="A25" s="5" t="s">
        <v>272</v>
      </c>
      <c r="B25" s="5">
        <f>SUMIFS(Данные!$D$2:$D$1001,Данные!$B$2:$B$1001,$A25,Данные!$C$2:$C$1001,"2023-09*")</f>
        <v>0</v>
      </c>
      <c r="C25" s="5">
        <f>SUMIFS(Данные!$D$2:$D$1001,Данные!$B$2:$B$1001,$A25,Данные!$C$2:$C$1001,"2023-10*")</f>
        <v>0</v>
      </c>
      <c r="D25" s="5">
        <f>SUMIFS(Данные!$D$2:$D$1001,Данные!$B$2:$B$1001,$A25,Данные!$C$2:$C$1001,"2023-11*")</f>
        <v>0</v>
      </c>
      <c r="E25" s="5">
        <f>SUMIFS(Данные!$D$2:$D$1001,Данные!$B$2:$B$1001,$A25,Данные!$C$2:$C$1001,"2023-12*")</f>
        <v>0</v>
      </c>
      <c r="F25" s="5">
        <f>SUMIFS(Данные!$D$2:$D$1001,Данные!$B$2:$B$1001,$A25,Данные!$C$2:$C$1001,"2024-01*")</f>
        <v>18148</v>
      </c>
      <c r="G25" s="5">
        <f>SUMIFS(Данные!$D$2:$D$1001,Данные!$B$2:$B$1001,$A25,Данные!$C$2:$C$1001,"2024-02*")</f>
        <v>0</v>
      </c>
      <c r="H25" s="5">
        <f>SUMIFS(Данные!$D$2:$D$1001,Данные!$B$2:$B$1001,$A25,Данные!$C$2:$C$1001,"2024-03*")</f>
        <v>0</v>
      </c>
      <c r="I25" s="5">
        <f>SUMIFS(Данные!$D$2:$D$1001,Данные!$B$2:$B$1001,$A25,Данные!$C$2:$C$1001,"2024-04*")</f>
        <v>151901</v>
      </c>
      <c r="J25" s="5">
        <f>SUMIFS(Данные!$D$2:$D$1001,Данные!$B$2:$B$1001,$A25,Данные!$C$2:$C$1001,"2024-05*")</f>
        <v>21347</v>
      </c>
      <c r="K25" s="5">
        <f>SUMIFS(Данные!$D$2:$D$1001,Данные!$B$2:$B$1001,$A25,Данные!$C$2:$C$1001,"2024-06*")</f>
        <v>76942</v>
      </c>
      <c r="L25" s="5">
        <f>SUMIFS(Данные!$D$2:$D$1001,Данные!$B$2:$B$1001,$A25,Данные!$C$2:$C$1001,"2024-07*")</f>
        <v>95114</v>
      </c>
      <c r="M25" s="5">
        <f>SUMIFS(Данные!$D$2:$D$1001,Данные!$B$2:$B$1001,$A25,Данные!$C$2:$C$1001,"2024-08*")</f>
        <v>0</v>
      </c>
      <c r="N25" s="5">
        <f>SUMIFS(Данные!$D$2:$D$1001,Данные!$B$2:$B$1001,$A25,Данные!$C$2:$C$1001,"2024-09*")</f>
        <v>0</v>
      </c>
      <c r="O25" s="8" t="str">
        <f t="shared" si="0"/>
        <v>A</v>
      </c>
      <c r="P25" s="8" t="str">
        <f t="shared" si="1"/>
        <v>Z</v>
      </c>
      <c r="Q25" s="9">
        <f t="shared" si="2"/>
        <v>363452</v>
      </c>
      <c r="S25" s="1">
        <f t="shared" si="4"/>
        <v>0</v>
      </c>
      <c r="T25" s="1">
        <f t="shared" si="4"/>
        <v>0</v>
      </c>
      <c r="U25" s="1">
        <f t="shared" si="4"/>
        <v>0</v>
      </c>
    </row>
    <row r="26" spans="1:21" ht="14.25" customHeight="1" x14ac:dyDescent="0.25">
      <c r="A26" s="5" t="s">
        <v>11</v>
      </c>
      <c r="B26" s="5">
        <f>SUMIFS(Данные!$D$2:$D$1001,Данные!$B$2:$B$1001,$A26,Данные!$C$2:$C$1001,"2023-09*")</f>
        <v>51778</v>
      </c>
      <c r="C26" s="5">
        <f>SUMIFS(Данные!$D$2:$D$1001,Данные!$B$2:$B$1001,$A26,Данные!$C$2:$C$1001,"2023-10*")</f>
        <v>14230</v>
      </c>
      <c r="D26" s="5">
        <f>SUMIFS(Данные!$D$2:$D$1001,Данные!$B$2:$B$1001,$A26,Данные!$C$2:$C$1001,"2023-11*")</f>
        <v>0</v>
      </c>
      <c r="E26" s="5">
        <f>SUMIFS(Данные!$D$2:$D$1001,Данные!$B$2:$B$1001,$A26,Данные!$C$2:$C$1001,"2023-12*")</f>
        <v>0</v>
      </c>
      <c r="F26" s="5">
        <f>SUMIFS(Данные!$D$2:$D$1001,Данные!$B$2:$B$1001,$A26,Данные!$C$2:$C$1001,"2024-01*")</f>
        <v>0</v>
      </c>
      <c r="G26" s="5">
        <f>SUMIFS(Данные!$D$2:$D$1001,Данные!$B$2:$B$1001,$A26,Данные!$C$2:$C$1001,"2024-02*")</f>
        <v>0</v>
      </c>
      <c r="H26" s="5">
        <f>SUMIFS(Данные!$D$2:$D$1001,Данные!$B$2:$B$1001,$A26,Данные!$C$2:$C$1001,"2024-03*")</f>
        <v>0</v>
      </c>
      <c r="I26" s="5">
        <f>SUMIFS(Данные!$D$2:$D$1001,Данные!$B$2:$B$1001,$A26,Данные!$C$2:$C$1001,"2024-04*")</f>
        <v>0</v>
      </c>
      <c r="J26" s="5">
        <f>SUMIFS(Данные!$D$2:$D$1001,Данные!$B$2:$B$1001,$A26,Данные!$C$2:$C$1001,"2024-05*")</f>
        <v>32553</v>
      </c>
      <c r="K26" s="5">
        <f>SUMIFS(Данные!$D$2:$D$1001,Данные!$B$2:$B$1001,$A26,Данные!$C$2:$C$1001,"2024-06*")</f>
        <v>0</v>
      </c>
      <c r="L26" s="5">
        <f>SUMIFS(Данные!$D$2:$D$1001,Данные!$B$2:$B$1001,$A26,Данные!$C$2:$C$1001,"2024-07*")</f>
        <v>0</v>
      </c>
      <c r="M26" s="5">
        <f>SUMIFS(Данные!$D$2:$D$1001,Данные!$B$2:$B$1001,$A26,Данные!$C$2:$C$1001,"2024-08*")</f>
        <v>0</v>
      </c>
      <c r="N26" s="5">
        <f>SUMIFS(Данные!$D$2:$D$1001,Данные!$B$2:$B$1001,$A26,Данные!$C$2:$C$1001,"2024-09*")</f>
        <v>0</v>
      </c>
      <c r="O26" s="8" t="str">
        <f t="shared" si="0"/>
        <v>C</v>
      </c>
      <c r="P26" s="8" t="str">
        <f t="shared" si="1"/>
        <v>Z</v>
      </c>
      <c r="Q26" s="9">
        <f t="shared" si="2"/>
        <v>98561</v>
      </c>
    </row>
    <row r="27" spans="1:21" ht="14.25" customHeight="1" x14ac:dyDescent="0.25">
      <c r="A27" s="5" t="s">
        <v>68</v>
      </c>
      <c r="B27" s="5">
        <f>SUMIFS(Данные!$D$2:$D$1001,Данные!$B$2:$B$1001,$A27,Данные!$C$2:$C$1001,"2023-09*")</f>
        <v>37038</v>
      </c>
      <c r="C27" s="5">
        <f>SUMIFS(Данные!$D$2:$D$1001,Данные!$B$2:$B$1001,$A27,Данные!$C$2:$C$1001,"2023-10*")</f>
        <v>0</v>
      </c>
      <c r="D27" s="5">
        <f>SUMIFS(Данные!$D$2:$D$1001,Данные!$B$2:$B$1001,$A27,Данные!$C$2:$C$1001,"2023-11*")</f>
        <v>0</v>
      </c>
      <c r="E27" s="5">
        <f>SUMIFS(Данные!$D$2:$D$1001,Данные!$B$2:$B$1001,$A27,Данные!$C$2:$C$1001,"2023-12*")</f>
        <v>17572</v>
      </c>
      <c r="F27" s="5">
        <f>SUMIFS(Данные!$D$2:$D$1001,Данные!$B$2:$B$1001,$A27,Данные!$C$2:$C$1001,"2024-01*")</f>
        <v>0</v>
      </c>
      <c r="G27" s="5">
        <f>SUMIFS(Данные!$D$2:$D$1001,Данные!$B$2:$B$1001,$A27,Данные!$C$2:$C$1001,"2024-02*")</f>
        <v>96642</v>
      </c>
      <c r="H27" s="5">
        <f>SUMIFS(Данные!$D$2:$D$1001,Данные!$B$2:$B$1001,$A27,Данные!$C$2:$C$1001,"2024-03*")</f>
        <v>59578</v>
      </c>
      <c r="I27" s="5">
        <f>SUMIFS(Данные!$D$2:$D$1001,Данные!$B$2:$B$1001,$A27,Данные!$C$2:$C$1001,"2024-04*")</f>
        <v>0</v>
      </c>
      <c r="J27" s="5">
        <f>SUMIFS(Данные!$D$2:$D$1001,Данные!$B$2:$B$1001,$A27,Данные!$C$2:$C$1001,"2024-05*")</f>
        <v>0</v>
      </c>
      <c r="K27" s="5">
        <f>SUMIFS(Данные!$D$2:$D$1001,Данные!$B$2:$B$1001,$A27,Данные!$C$2:$C$1001,"2024-06*")</f>
        <v>0</v>
      </c>
      <c r="L27" s="5">
        <f>SUMIFS(Данные!$D$2:$D$1001,Данные!$B$2:$B$1001,$A27,Данные!$C$2:$C$1001,"2024-07*")</f>
        <v>0</v>
      </c>
      <c r="M27" s="5">
        <f>SUMIFS(Данные!$D$2:$D$1001,Данные!$B$2:$B$1001,$A27,Данные!$C$2:$C$1001,"2024-08*")</f>
        <v>0</v>
      </c>
      <c r="N27" s="5">
        <f>SUMIFS(Данные!$D$2:$D$1001,Данные!$B$2:$B$1001,$A27,Данные!$C$2:$C$1001,"2024-09*")</f>
        <v>0</v>
      </c>
      <c r="O27" s="8" t="str">
        <f t="shared" si="0"/>
        <v>B</v>
      </c>
      <c r="P27" s="8" t="str">
        <f t="shared" si="1"/>
        <v>Z</v>
      </c>
      <c r="Q27" s="9">
        <f t="shared" si="2"/>
        <v>210830</v>
      </c>
    </row>
    <row r="28" spans="1:21" ht="14.25" customHeight="1" x14ac:dyDescent="0.25">
      <c r="A28" s="5" t="s">
        <v>80</v>
      </c>
      <c r="B28" s="5">
        <f>SUMIFS(Данные!$D$2:$D$1001,Данные!$B$2:$B$1001,$A28,Данные!$C$2:$C$1001,"2023-09*")</f>
        <v>44203</v>
      </c>
      <c r="C28" s="5">
        <f>SUMIFS(Данные!$D$2:$D$1001,Данные!$B$2:$B$1001,$A28,Данные!$C$2:$C$1001,"2023-10*")</f>
        <v>92017</v>
      </c>
      <c r="D28" s="5">
        <f>SUMIFS(Данные!$D$2:$D$1001,Данные!$B$2:$B$1001,$A28,Данные!$C$2:$C$1001,"2023-11*")</f>
        <v>0</v>
      </c>
      <c r="E28" s="5">
        <f>SUMIFS(Данные!$D$2:$D$1001,Данные!$B$2:$B$1001,$A28,Данные!$C$2:$C$1001,"2023-12*")</f>
        <v>33312</v>
      </c>
      <c r="F28" s="5">
        <f>SUMIFS(Данные!$D$2:$D$1001,Данные!$B$2:$B$1001,$A28,Данные!$C$2:$C$1001,"2024-01*")</f>
        <v>0</v>
      </c>
      <c r="G28" s="5">
        <f>SUMIFS(Данные!$D$2:$D$1001,Данные!$B$2:$B$1001,$A28,Данные!$C$2:$C$1001,"2024-02*")</f>
        <v>27430</v>
      </c>
      <c r="H28" s="5">
        <f>SUMIFS(Данные!$D$2:$D$1001,Данные!$B$2:$B$1001,$A28,Данные!$C$2:$C$1001,"2024-03*")</f>
        <v>0</v>
      </c>
      <c r="I28" s="5">
        <f>SUMIFS(Данные!$D$2:$D$1001,Данные!$B$2:$B$1001,$A28,Данные!$C$2:$C$1001,"2024-04*")</f>
        <v>0</v>
      </c>
      <c r="J28" s="5">
        <f>SUMIFS(Данные!$D$2:$D$1001,Данные!$B$2:$B$1001,$A28,Данные!$C$2:$C$1001,"2024-05*")</f>
        <v>0</v>
      </c>
      <c r="K28" s="5">
        <f>SUMIFS(Данные!$D$2:$D$1001,Данные!$B$2:$B$1001,$A28,Данные!$C$2:$C$1001,"2024-06*")</f>
        <v>0</v>
      </c>
      <c r="L28" s="5">
        <f>SUMIFS(Данные!$D$2:$D$1001,Данные!$B$2:$B$1001,$A28,Данные!$C$2:$C$1001,"2024-07*")</f>
        <v>0</v>
      </c>
      <c r="M28" s="5">
        <f>SUMIFS(Данные!$D$2:$D$1001,Данные!$B$2:$B$1001,$A28,Данные!$C$2:$C$1001,"2024-08*")</f>
        <v>0</v>
      </c>
      <c r="N28" s="5">
        <f>SUMIFS(Данные!$D$2:$D$1001,Данные!$B$2:$B$1001,$A28,Данные!$C$2:$C$1001,"2024-09*")</f>
        <v>82269</v>
      </c>
      <c r="O28" s="8" t="str">
        <f t="shared" si="0"/>
        <v>A</v>
      </c>
      <c r="P28" s="8" t="str">
        <f t="shared" si="1"/>
        <v>Z</v>
      </c>
      <c r="Q28" s="9">
        <f t="shared" si="2"/>
        <v>279231</v>
      </c>
    </row>
    <row r="29" spans="1:21" ht="14.25" customHeight="1" x14ac:dyDescent="0.25">
      <c r="A29" s="5" t="s">
        <v>237</v>
      </c>
      <c r="B29" s="5">
        <f>SUMIFS(Данные!$D$2:$D$1001,Данные!$B$2:$B$1001,$A29,Данные!$C$2:$C$1001,"2023-09*")</f>
        <v>0</v>
      </c>
      <c r="C29" s="5">
        <f>SUMIFS(Данные!$D$2:$D$1001,Данные!$B$2:$B$1001,$A29,Данные!$C$2:$C$1001,"2023-10*")</f>
        <v>0</v>
      </c>
      <c r="D29" s="5">
        <f>SUMIFS(Данные!$D$2:$D$1001,Данные!$B$2:$B$1001,$A29,Данные!$C$2:$C$1001,"2023-11*")</f>
        <v>0</v>
      </c>
      <c r="E29" s="5">
        <f>SUMIFS(Данные!$D$2:$D$1001,Данные!$B$2:$B$1001,$A29,Данные!$C$2:$C$1001,"2023-12*")</f>
        <v>43604</v>
      </c>
      <c r="F29" s="5">
        <f>SUMIFS(Данные!$D$2:$D$1001,Данные!$B$2:$B$1001,$A29,Данные!$C$2:$C$1001,"2024-01*")</f>
        <v>0</v>
      </c>
      <c r="G29" s="5">
        <f>SUMIFS(Данные!$D$2:$D$1001,Данные!$B$2:$B$1001,$A29,Данные!$C$2:$C$1001,"2024-02*")</f>
        <v>67602</v>
      </c>
      <c r="H29" s="5">
        <f>SUMIFS(Данные!$D$2:$D$1001,Данные!$B$2:$B$1001,$A29,Данные!$C$2:$C$1001,"2024-03*")</f>
        <v>53816</v>
      </c>
      <c r="I29" s="5">
        <f>SUMIFS(Данные!$D$2:$D$1001,Данные!$B$2:$B$1001,$A29,Данные!$C$2:$C$1001,"2024-04*")</f>
        <v>0</v>
      </c>
      <c r="J29" s="5">
        <f>SUMIFS(Данные!$D$2:$D$1001,Данные!$B$2:$B$1001,$A29,Данные!$C$2:$C$1001,"2024-05*")</f>
        <v>0</v>
      </c>
      <c r="K29" s="5">
        <f>SUMIFS(Данные!$D$2:$D$1001,Данные!$B$2:$B$1001,$A29,Данные!$C$2:$C$1001,"2024-06*")</f>
        <v>0</v>
      </c>
      <c r="L29" s="5">
        <f>SUMIFS(Данные!$D$2:$D$1001,Данные!$B$2:$B$1001,$A29,Данные!$C$2:$C$1001,"2024-07*")</f>
        <v>115964</v>
      </c>
      <c r="M29" s="5">
        <f>SUMIFS(Данные!$D$2:$D$1001,Данные!$B$2:$B$1001,$A29,Данные!$C$2:$C$1001,"2024-08*")</f>
        <v>58175</v>
      </c>
      <c r="N29" s="5">
        <f>SUMIFS(Данные!$D$2:$D$1001,Данные!$B$2:$B$1001,$A29,Данные!$C$2:$C$1001,"2024-09*")</f>
        <v>0</v>
      </c>
      <c r="O29" s="8" t="str">
        <f t="shared" si="0"/>
        <v>A</v>
      </c>
      <c r="P29" s="8" t="str">
        <f t="shared" si="1"/>
        <v>Z</v>
      </c>
      <c r="Q29" s="9">
        <f t="shared" si="2"/>
        <v>339161</v>
      </c>
    </row>
    <row r="30" spans="1:21" ht="14.25" customHeight="1" x14ac:dyDescent="0.25">
      <c r="A30" s="5" t="s">
        <v>249</v>
      </c>
      <c r="B30" s="5">
        <f>SUMIFS(Данные!$D$2:$D$1001,Данные!$B$2:$B$1001,$A30,Данные!$C$2:$C$1001,"2023-09*")</f>
        <v>0</v>
      </c>
      <c r="C30" s="5">
        <f>SUMIFS(Данные!$D$2:$D$1001,Данные!$B$2:$B$1001,$A30,Данные!$C$2:$C$1001,"2023-10*")</f>
        <v>0</v>
      </c>
      <c r="D30" s="5">
        <f>SUMIFS(Данные!$D$2:$D$1001,Данные!$B$2:$B$1001,$A30,Данные!$C$2:$C$1001,"2023-11*")</f>
        <v>0</v>
      </c>
      <c r="E30" s="5">
        <f>SUMIFS(Данные!$D$2:$D$1001,Данные!$B$2:$B$1001,$A30,Данные!$C$2:$C$1001,"2023-12*")</f>
        <v>11275</v>
      </c>
      <c r="F30" s="5">
        <f>SUMIFS(Данные!$D$2:$D$1001,Данные!$B$2:$B$1001,$A30,Данные!$C$2:$C$1001,"2024-01*")</f>
        <v>0</v>
      </c>
      <c r="G30" s="5">
        <f>SUMIFS(Данные!$D$2:$D$1001,Данные!$B$2:$B$1001,$A30,Данные!$C$2:$C$1001,"2024-02*")</f>
        <v>78690</v>
      </c>
      <c r="H30" s="5">
        <f>SUMIFS(Данные!$D$2:$D$1001,Данные!$B$2:$B$1001,$A30,Данные!$C$2:$C$1001,"2024-03*")</f>
        <v>50779</v>
      </c>
      <c r="I30" s="5">
        <f>SUMIFS(Данные!$D$2:$D$1001,Данные!$B$2:$B$1001,$A30,Данные!$C$2:$C$1001,"2024-04*")</f>
        <v>127077</v>
      </c>
      <c r="J30" s="5">
        <f>SUMIFS(Данные!$D$2:$D$1001,Данные!$B$2:$B$1001,$A30,Данные!$C$2:$C$1001,"2024-05*")</f>
        <v>141944</v>
      </c>
      <c r="K30" s="5">
        <f>SUMIFS(Данные!$D$2:$D$1001,Данные!$B$2:$B$1001,$A30,Данные!$C$2:$C$1001,"2024-06*")</f>
        <v>0</v>
      </c>
      <c r="L30" s="5">
        <f>SUMIFS(Данные!$D$2:$D$1001,Данные!$B$2:$B$1001,$A30,Данные!$C$2:$C$1001,"2024-07*")</f>
        <v>12406</v>
      </c>
      <c r="M30" s="5">
        <f>SUMIFS(Данные!$D$2:$D$1001,Данные!$B$2:$B$1001,$A30,Данные!$C$2:$C$1001,"2024-08*")</f>
        <v>55230</v>
      </c>
      <c r="N30" s="5">
        <f>SUMIFS(Данные!$D$2:$D$1001,Данные!$B$2:$B$1001,$A30,Данные!$C$2:$C$1001,"2024-09*")</f>
        <v>0</v>
      </c>
      <c r="O30" s="8" t="str">
        <f t="shared" si="0"/>
        <v>A</v>
      </c>
      <c r="P30" s="8" t="str">
        <f t="shared" si="1"/>
        <v>Z</v>
      </c>
      <c r="Q30" s="9">
        <f t="shared" si="2"/>
        <v>477401</v>
      </c>
    </row>
    <row r="31" spans="1:21" ht="14.25" customHeight="1" x14ac:dyDescent="0.25">
      <c r="A31" s="5" t="s">
        <v>173</v>
      </c>
      <c r="B31" s="5">
        <f>SUMIFS(Данные!$D$2:$D$1001,Данные!$B$2:$B$1001,$A31,Данные!$C$2:$C$1001,"2023-09*")</f>
        <v>0</v>
      </c>
      <c r="C31" s="5">
        <f>SUMIFS(Данные!$D$2:$D$1001,Данные!$B$2:$B$1001,$A31,Данные!$C$2:$C$1001,"2023-10*")</f>
        <v>0</v>
      </c>
      <c r="D31" s="5">
        <f>SUMIFS(Данные!$D$2:$D$1001,Данные!$B$2:$B$1001,$A31,Данные!$C$2:$C$1001,"2023-11*")</f>
        <v>55074</v>
      </c>
      <c r="E31" s="5">
        <f>SUMIFS(Данные!$D$2:$D$1001,Данные!$B$2:$B$1001,$A31,Данные!$C$2:$C$1001,"2023-12*")</f>
        <v>0</v>
      </c>
      <c r="F31" s="5">
        <f>SUMIFS(Данные!$D$2:$D$1001,Данные!$B$2:$B$1001,$A31,Данные!$C$2:$C$1001,"2024-01*")</f>
        <v>0</v>
      </c>
      <c r="G31" s="5">
        <f>SUMIFS(Данные!$D$2:$D$1001,Данные!$B$2:$B$1001,$A31,Данные!$C$2:$C$1001,"2024-02*")</f>
        <v>48560</v>
      </c>
      <c r="H31" s="5">
        <f>SUMIFS(Данные!$D$2:$D$1001,Данные!$B$2:$B$1001,$A31,Данные!$C$2:$C$1001,"2024-03*")</f>
        <v>28797</v>
      </c>
      <c r="I31" s="5">
        <f>SUMIFS(Данные!$D$2:$D$1001,Данные!$B$2:$B$1001,$A31,Данные!$C$2:$C$1001,"2024-04*")</f>
        <v>49542</v>
      </c>
      <c r="J31" s="5">
        <f>SUMIFS(Данные!$D$2:$D$1001,Данные!$B$2:$B$1001,$A31,Данные!$C$2:$C$1001,"2024-05*")</f>
        <v>17108</v>
      </c>
      <c r="K31" s="5">
        <f>SUMIFS(Данные!$D$2:$D$1001,Данные!$B$2:$B$1001,$A31,Данные!$C$2:$C$1001,"2024-06*")</f>
        <v>13525</v>
      </c>
      <c r="L31" s="5">
        <f>SUMIFS(Данные!$D$2:$D$1001,Данные!$B$2:$B$1001,$A31,Данные!$C$2:$C$1001,"2024-07*")</f>
        <v>133232</v>
      </c>
      <c r="M31" s="5">
        <f>SUMIFS(Данные!$D$2:$D$1001,Данные!$B$2:$B$1001,$A31,Данные!$C$2:$C$1001,"2024-08*")</f>
        <v>0</v>
      </c>
      <c r="N31" s="5">
        <f>SUMIFS(Данные!$D$2:$D$1001,Данные!$B$2:$B$1001,$A31,Данные!$C$2:$C$1001,"2024-09*")</f>
        <v>0</v>
      </c>
      <c r="O31" s="8" t="str">
        <f t="shared" si="0"/>
        <v>A</v>
      </c>
      <c r="P31" s="8" t="str">
        <f t="shared" si="1"/>
        <v>Z</v>
      </c>
      <c r="Q31" s="9">
        <f t="shared" si="2"/>
        <v>345838</v>
      </c>
    </row>
    <row r="32" spans="1:21" ht="14.25" customHeight="1" x14ac:dyDescent="0.25">
      <c r="A32" s="5" t="s">
        <v>338</v>
      </c>
      <c r="B32" s="5">
        <f>SUMIFS(Данные!$D$2:$D$1001,Данные!$B$2:$B$1001,$A32,Данные!$C$2:$C$1001,"2023-09*")</f>
        <v>0</v>
      </c>
      <c r="C32" s="5">
        <f>SUMIFS(Данные!$D$2:$D$1001,Данные!$B$2:$B$1001,$A32,Данные!$C$2:$C$1001,"2023-10*")</f>
        <v>0</v>
      </c>
      <c r="D32" s="5">
        <f>SUMIFS(Данные!$D$2:$D$1001,Данные!$B$2:$B$1001,$A32,Данные!$C$2:$C$1001,"2023-11*")</f>
        <v>0</v>
      </c>
      <c r="E32" s="5">
        <f>SUMIFS(Данные!$D$2:$D$1001,Данные!$B$2:$B$1001,$A32,Данные!$C$2:$C$1001,"2023-12*")</f>
        <v>0</v>
      </c>
      <c r="F32" s="5">
        <f>SUMIFS(Данные!$D$2:$D$1001,Данные!$B$2:$B$1001,$A32,Данные!$C$2:$C$1001,"2024-01*")</f>
        <v>0</v>
      </c>
      <c r="G32" s="5">
        <f>SUMIFS(Данные!$D$2:$D$1001,Данные!$B$2:$B$1001,$A32,Данные!$C$2:$C$1001,"2024-02*")</f>
        <v>0</v>
      </c>
      <c r="H32" s="5">
        <f>SUMIFS(Данные!$D$2:$D$1001,Данные!$B$2:$B$1001,$A32,Данные!$C$2:$C$1001,"2024-03*")</f>
        <v>46205</v>
      </c>
      <c r="I32" s="5">
        <f>SUMIFS(Данные!$D$2:$D$1001,Данные!$B$2:$B$1001,$A32,Данные!$C$2:$C$1001,"2024-04*")</f>
        <v>0</v>
      </c>
      <c r="J32" s="5">
        <f>SUMIFS(Данные!$D$2:$D$1001,Данные!$B$2:$B$1001,$A32,Данные!$C$2:$C$1001,"2024-05*")</f>
        <v>0</v>
      </c>
      <c r="K32" s="5">
        <f>SUMIFS(Данные!$D$2:$D$1001,Данные!$B$2:$B$1001,$A32,Данные!$C$2:$C$1001,"2024-06*")</f>
        <v>0</v>
      </c>
      <c r="L32" s="5">
        <f>SUMIFS(Данные!$D$2:$D$1001,Данные!$B$2:$B$1001,$A32,Данные!$C$2:$C$1001,"2024-07*")</f>
        <v>0</v>
      </c>
      <c r="M32" s="5">
        <f>SUMIFS(Данные!$D$2:$D$1001,Данные!$B$2:$B$1001,$A32,Данные!$C$2:$C$1001,"2024-08*")</f>
        <v>0</v>
      </c>
      <c r="N32" s="5">
        <f>SUMIFS(Данные!$D$2:$D$1001,Данные!$B$2:$B$1001,$A32,Данные!$C$2:$C$1001,"2024-09*")</f>
        <v>0</v>
      </c>
      <c r="O32" s="8" t="str">
        <f t="shared" si="0"/>
        <v>C</v>
      </c>
      <c r="P32" s="8" t="str">
        <f t="shared" si="1"/>
        <v>Z</v>
      </c>
      <c r="Q32" s="9">
        <f t="shared" si="2"/>
        <v>46205</v>
      </c>
    </row>
    <row r="33" spans="1:17" ht="14.25" customHeight="1" x14ac:dyDescent="0.25">
      <c r="A33" s="5" t="s">
        <v>225</v>
      </c>
      <c r="B33" s="5">
        <f>SUMIFS(Данные!$D$2:$D$1001,Данные!$B$2:$B$1001,$A33,Данные!$C$2:$C$1001,"2023-09*")</f>
        <v>0</v>
      </c>
      <c r="C33" s="5">
        <f>SUMIFS(Данные!$D$2:$D$1001,Данные!$B$2:$B$1001,$A33,Данные!$C$2:$C$1001,"2023-10*")</f>
        <v>0</v>
      </c>
      <c r="D33" s="5">
        <f>SUMIFS(Данные!$D$2:$D$1001,Данные!$B$2:$B$1001,$A33,Данные!$C$2:$C$1001,"2023-11*")</f>
        <v>0</v>
      </c>
      <c r="E33" s="5">
        <f>SUMIFS(Данные!$D$2:$D$1001,Данные!$B$2:$B$1001,$A33,Данные!$C$2:$C$1001,"2023-12*")</f>
        <v>37630</v>
      </c>
      <c r="F33" s="5">
        <f>SUMIFS(Данные!$D$2:$D$1001,Данные!$B$2:$B$1001,$A33,Данные!$C$2:$C$1001,"2024-01*")</f>
        <v>0</v>
      </c>
      <c r="G33" s="5">
        <f>SUMIFS(Данные!$D$2:$D$1001,Данные!$B$2:$B$1001,$A33,Данные!$C$2:$C$1001,"2024-02*")</f>
        <v>76087</v>
      </c>
      <c r="H33" s="5">
        <f>SUMIFS(Данные!$D$2:$D$1001,Данные!$B$2:$B$1001,$A33,Данные!$C$2:$C$1001,"2024-03*")</f>
        <v>41134</v>
      </c>
      <c r="I33" s="5">
        <f>SUMIFS(Данные!$D$2:$D$1001,Данные!$B$2:$B$1001,$A33,Данные!$C$2:$C$1001,"2024-04*")</f>
        <v>53841</v>
      </c>
      <c r="J33" s="5">
        <f>SUMIFS(Данные!$D$2:$D$1001,Данные!$B$2:$B$1001,$A33,Данные!$C$2:$C$1001,"2024-05*")</f>
        <v>54531</v>
      </c>
      <c r="K33" s="5">
        <f>SUMIFS(Данные!$D$2:$D$1001,Данные!$B$2:$B$1001,$A33,Данные!$C$2:$C$1001,"2024-06*")</f>
        <v>0</v>
      </c>
      <c r="L33" s="5">
        <f>SUMIFS(Данные!$D$2:$D$1001,Данные!$B$2:$B$1001,$A33,Данные!$C$2:$C$1001,"2024-07*")</f>
        <v>97445</v>
      </c>
      <c r="M33" s="5">
        <f>SUMIFS(Данные!$D$2:$D$1001,Данные!$B$2:$B$1001,$A33,Данные!$C$2:$C$1001,"2024-08*")</f>
        <v>0</v>
      </c>
      <c r="N33" s="5">
        <f>SUMIFS(Данные!$D$2:$D$1001,Данные!$B$2:$B$1001,$A33,Данные!$C$2:$C$1001,"2024-09*")</f>
        <v>0</v>
      </c>
      <c r="O33" s="8" t="str">
        <f t="shared" si="0"/>
        <v>A</v>
      </c>
      <c r="P33" s="8" t="str">
        <f t="shared" si="1"/>
        <v>Z</v>
      </c>
      <c r="Q33" s="9">
        <f t="shared" si="2"/>
        <v>360668</v>
      </c>
    </row>
    <row r="34" spans="1:17" ht="14.25" customHeight="1" x14ac:dyDescent="0.25">
      <c r="A34" s="5" t="s">
        <v>56</v>
      </c>
      <c r="B34" s="5">
        <f>SUMIFS(Данные!$D$2:$D$1001,Данные!$B$2:$B$1001,$A34,Данные!$C$2:$C$1001,"2023-09*")</f>
        <v>83904</v>
      </c>
      <c r="C34" s="5">
        <f>SUMIFS(Данные!$D$2:$D$1001,Данные!$B$2:$B$1001,$A34,Данные!$C$2:$C$1001,"2023-10*")</f>
        <v>0</v>
      </c>
      <c r="D34" s="5">
        <f>SUMIFS(Данные!$D$2:$D$1001,Данные!$B$2:$B$1001,$A34,Данные!$C$2:$C$1001,"2023-11*")</f>
        <v>0</v>
      </c>
      <c r="E34" s="5">
        <f>SUMIFS(Данные!$D$2:$D$1001,Данные!$B$2:$B$1001,$A34,Данные!$C$2:$C$1001,"2023-12*")</f>
        <v>0</v>
      </c>
      <c r="F34" s="5">
        <f>SUMIFS(Данные!$D$2:$D$1001,Данные!$B$2:$B$1001,$A34,Данные!$C$2:$C$1001,"2024-01*")</f>
        <v>0</v>
      </c>
      <c r="G34" s="5">
        <f>SUMIFS(Данные!$D$2:$D$1001,Данные!$B$2:$B$1001,$A34,Данные!$C$2:$C$1001,"2024-02*")</f>
        <v>0</v>
      </c>
      <c r="H34" s="5">
        <f>SUMIFS(Данные!$D$2:$D$1001,Данные!$B$2:$B$1001,$A34,Данные!$C$2:$C$1001,"2024-03*")</f>
        <v>0</v>
      </c>
      <c r="I34" s="5">
        <f>SUMIFS(Данные!$D$2:$D$1001,Данные!$B$2:$B$1001,$A34,Данные!$C$2:$C$1001,"2024-04*")</f>
        <v>0</v>
      </c>
      <c r="J34" s="5">
        <f>SUMIFS(Данные!$D$2:$D$1001,Данные!$B$2:$B$1001,$A34,Данные!$C$2:$C$1001,"2024-05*")</f>
        <v>97851</v>
      </c>
      <c r="K34" s="5">
        <f>SUMIFS(Данные!$D$2:$D$1001,Данные!$B$2:$B$1001,$A34,Данные!$C$2:$C$1001,"2024-06*")</f>
        <v>0</v>
      </c>
      <c r="L34" s="5">
        <f>SUMIFS(Данные!$D$2:$D$1001,Данные!$B$2:$B$1001,$A34,Данные!$C$2:$C$1001,"2024-07*")</f>
        <v>122588</v>
      </c>
      <c r="M34" s="5">
        <f>SUMIFS(Данные!$D$2:$D$1001,Данные!$B$2:$B$1001,$A34,Данные!$C$2:$C$1001,"2024-08*")</f>
        <v>0</v>
      </c>
      <c r="N34" s="5">
        <f>SUMIFS(Данные!$D$2:$D$1001,Данные!$B$2:$B$1001,$A34,Данные!$C$2:$C$1001,"2024-09*")</f>
        <v>0</v>
      </c>
      <c r="O34" s="8" t="str">
        <f t="shared" ref="O34:O65" si="5">IF(SUMPRODUCT(($Q$2:$Q$198&gt;=Q34)*$Q$2:$Q$198)/SUM($Q$2:$Q$198)&lt;=80%,"A",IF(SUMPRODUCT(($Q$2:$Q$198&gt;=Q34)*$Q$2:$Q$198)/SUM($Q$2:$Q$198)&lt;=95%,"B","C"))</f>
        <v>A</v>
      </c>
      <c r="P34" s="8" t="str">
        <f t="shared" ref="P34:P65" si="6">IFERROR(IF(SQRT(SUMPRODUCT((B34:N34-AVERAGE(B34:N34))^2)/(COUNT(B34:N34)-1))/AVERAGE(B34:N34)&lt;=10%,"X",IF(SQRT(SUMPRODUCT((B34:N34-AVERAGE(B34:N34))^2)/(COUNT(B34:N34)-1))/AVERAGE(B34:N34)&lt;=25%,"Y","Z")),"Z")</f>
        <v>Z</v>
      </c>
      <c r="Q34" s="9">
        <f t="shared" ref="Q34:Q65" si="7">SUM(B34:N34)</f>
        <v>304343</v>
      </c>
    </row>
    <row r="35" spans="1:17" ht="14.25" customHeight="1" x14ac:dyDescent="0.25">
      <c r="A35" s="5" t="s">
        <v>158</v>
      </c>
      <c r="B35" s="5">
        <f>SUMIFS(Данные!$D$2:$D$1001,Данные!$B$2:$B$1001,$A35,Данные!$C$2:$C$1001,"2023-09*")</f>
        <v>0</v>
      </c>
      <c r="C35" s="5">
        <f>SUMIFS(Данные!$D$2:$D$1001,Данные!$B$2:$B$1001,$A35,Данные!$C$2:$C$1001,"2023-10*")</f>
        <v>53639</v>
      </c>
      <c r="D35" s="5">
        <f>SUMIFS(Данные!$D$2:$D$1001,Данные!$B$2:$B$1001,$A35,Данные!$C$2:$C$1001,"2023-11*")</f>
        <v>57104</v>
      </c>
      <c r="E35" s="5">
        <f>SUMIFS(Данные!$D$2:$D$1001,Данные!$B$2:$B$1001,$A35,Данные!$C$2:$C$1001,"2023-12*")</f>
        <v>0</v>
      </c>
      <c r="F35" s="5">
        <f>SUMIFS(Данные!$D$2:$D$1001,Данные!$B$2:$B$1001,$A35,Данные!$C$2:$C$1001,"2024-01*")</f>
        <v>28100</v>
      </c>
      <c r="G35" s="5">
        <f>SUMIFS(Данные!$D$2:$D$1001,Данные!$B$2:$B$1001,$A35,Данные!$C$2:$C$1001,"2024-02*")</f>
        <v>0</v>
      </c>
      <c r="H35" s="5">
        <f>SUMIFS(Данные!$D$2:$D$1001,Данные!$B$2:$B$1001,$A35,Данные!$C$2:$C$1001,"2024-03*")</f>
        <v>82311</v>
      </c>
      <c r="I35" s="5">
        <f>SUMIFS(Данные!$D$2:$D$1001,Данные!$B$2:$B$1001,$A35,Данные!$C$2:$C$1001,"2024-04*")</f>
        <v>0</v>
      </c>
      <c r="J35" s="5">
        <f>SUMIFS(Данные!$D$2:$D$1001,Данные!$B$2:$B$1001,$A35,Данные!$C$2:$C$1001,"2024-05*")</f>
        <v>0</v>
      </c>
      <c r="K35" s="5">
        <f>SUMIFS(Данные!$D$2:$D$1001,Данные!$B$2:$B$1001,$A35,Данные!$C$2:$C$1001,"2024-06*")</f>
        <v>0</v>
      </c>
      <c r="L35" s="5">
        <f>SUMIFS(Данные!$D$2:$D$1001,Данные!$B$2:$B$1001,$A35,Данные!$C$2:$C$1001,"2024-07*")</f>
        <v>0</v>
      </c>
      <c r="M35" s="5">
        <f>SUMIFS(Данные!$D$2:$D$1001,Данные!$B$2:$B$1001,$A35,Данные!$C$2:$C$1001,"2024-08*")</f>
        <v>0</v>
      </c>
      <c r="N35" s="5">
        <f>SUMIFS(Данные!$D$2:$D$1001,Данные!$B$2:$B$1001,$A35,Данные!$C$2:$C$1001,"2024-09*")</f>
        <v>0</v>
      </c>
      <c r="O35" s="8" t="str">
        <f t="shared" si="5"/>
        <v>B</v>
      </c>
      <c r="P35" s="8" t="str">
        <f t="shared" si="6"/>
        <v>Z</v>
      </c>
      <c r="Q35" s="9">
        <f t="shared" si="7"/>
        <v>221154</v>
      </c>
    </row>
    <row r="36" spans="1:17" ht="14.25" customHeight="1" x14ac:dyDescent="0.25">
      <c r="A36" s="5" t="s">
        <v>235</v>
      </c>
      <c r="B36" s="5">
        <f>SUMIFS(Данные!$D$2:$D$1001,Данные!$B$2:$B$1001,$A36,Данные!$C$2:$C$1001,"2023-09*")</f>
        <v>0</v>
      </c>
      <c r="C36" s="5">
        <f>SUMIFS(Данные!$D$2:$D$1001,Данные!$B$2:$B$1001,$A36,Данные!$C$2:$C$1001,"2023-10*")</f>
        <v>0</v>
      </c>
      <c r="D36" s="5">
        <f>SUMIFS(Данные!$D$2:$D$1001,Данные!$B$2:$B$1001,$A36,Данные!$C$2:$C$1001,"2023-11*")</f>
        <v>0</v>
      </c>
      <c r="E36" s="5">
        <f>SUMIFS(Данные!$D$2:$D$1001,Данные!$B$2:$B$1001,$A36,Данные!$C$2:$C$1001,"2023-12*")</f>
        <v>146636</v>
      </c>
      <c r="F36" s="5">
        <f>SUMIFS(Данные!$D$2:$D$1001,Данные!$B$2:$B$1001,$A36,Данные!$C$2:$C$1001,"2024-01*")</f>
        <v>0</v>
      </c>
      <c r="G36" s="5">
        <f>SUMIFS(Данные!$D$2:$D$1001,Данные!$B$2:$B$1001,$A36,Данные!$C$2:$C$1001,"2024-02*")</f>
        <v>0</v>
      </c>
      <c r="H36" s="5">
        <f>SUMIFS(Данные!$D$2:$D$1001,Данные!$B$2:$B$1001,$A36,Данные!$C$2:$C$1001,"2024-03*")</f>
        <v>0</v>
      </c>
      <c r="I36" s="5">
        <f>SUMIFS(Данные!$D$2:$D$1001,Данные!$B$2:$B$1001,$A36,Данные!$C$2:$C$1001,"2024-04*")</f>
        <v>0</v>
      </c>
      <c r="J36" s="5">
        <f>SUMIFS(Данные!$D$2:$D$1001,Данные!$B$2:$B$1001,$A36,Данные!$C$2:$C$1001,"2024-05*")</f>
        <v>0</v>
      </c>
      <c r="K36" s="5">
        <f>SUMIFS(Данные!$D$2:$D$1001,Данные!$B$2:$B$1001,$A36,Данные!$C$2:$C$1001,"2024-06*")</f>
        <v>0</v>
      </c>
      <c r="L36" s="5">
        <f>SUMIFS(Данные!$D$2:$D$1001,Данные!$B$2:$B$1001,$A36,Данные!$C$2:$C$1001,"2024-07*")</f>
        <v>87404</v>
      </c>
      <c r="M36" s="5">
        <f>SUMIFS(Данные!$D$2:$D$1001,Данные!$B$2:$B$1001,$A36,Данные!$C$2:$C$1001,"2024-08*")</f>
        <v>80293</v>
      </c>
      <c r="N36" s="5">
        <f>SUMIFS(Данные!$D$2:$D$1001,Данные!$B$2:$B$1001,$A36,Данные!$C$2:$C$1001,"2024-09*")</f>
        <v>0</v>
      </c>
      <c r="O36" s="8" t="str">
        <f t="shared" si="5"/>
        <v>A</v>
      </c>
      <c r="P36" s="8" t="str">
        <f t="shared" si="6"/>
        <v>Z</v>
      </c>
      <c r="Q36" s="9">
        <f t="shared" si="7"/>
        <v>314333</v>
      </c>
    </row>
    <row r="37" spans="1:17" ht="14.25" customHeight="1" x14ac:dyDescent="0.25">
      <c r="A37" s="5" t="s">
        <v>449</v>
      </c>
      <c r="B37" s="5">
        <f>SUMIFS(Данные!$D$2:$D$1001,Данные!$B$2:$B$1001,$A37,Данные!$C$2:$C$1001,"2023-09*")</f>
        <v>0</v>
      </c>
      <c r="C37" s="5">
        <f>SUMIFS(Данные!$D$2:$D$1001,Данные!$B$2:$B$1001,$A37,Данные!$C$2:$C$1001,"2023-10*")</f>
        <v>0</v>
      </c>
      <c r="D37" s="5">
        <f>SUMIFS(Данные!$D$2:$D$1001,Данные!$B$2:$B$1001,$A37,Данные!$C$2:$C$1001,"2023-11*")</f>
        <v>0</v>
      </c>
      <c r="E37" s="5">
        <f>SUMIFS(Данные!$D$2:$D$1001,Данные!$B$2:$B$1001,$A37,Данные!$C$2:$C$1001,"2023-12*")</f>
        <v>0</v>
      </c>
      <c r="F37" s="5">
        <f>SUMIFS(Данные!$D$2:$D$1001,Данные!$B$2:$B$1001,$A37,Данные!$C$2:$C$1001,"2024-01*")</f>
        <v>0</v>
      </c>
      <c r="G37" s="5">
        <f>SUMIFS(Данные!$D$2:$D$1001,Данные!$B$2:$B$1001,$A37,Данные!$C$2:$C$1001,"2024-02*")</f>
        <v>0</v>
      </c>
      <c r="H37" s="5">
        <f>SUMIFS(Данные!$D$2:$D$1001,Данные!$B$2:$B$1001,$A37,Данные!$C$2:$C$1001,"2024-03*")</f>
        <v>0</v>
      </c>
      <c r="I37" s="5">
        <f>SUMIFS(Данные!$D$2:$D$1001,Данные!$B$2:$B$1001,$A37,Данные!$C$2:$C$1001,"2024-04*")</f>
        <v>0</v>
      </c>
      <c r="J37" s="5">
        <f>SUMIFS(Данные!$D$2:$D$1001,Данные!$B$2:$B$1001,$A37,Данные!$C$2:$C$1001,"2024-05*")</f>
        <v>0</v>
      </c>
      <c r="K37" s="5">
        <f>SUMIFS(Данные!$D$2:$D$1001,Данные!$B$2:$B$1001,$A37,Данные!$C$2:$C$1001,"2024-06*")</f>
        <v>0</v>
      </c>
      <c r="L37" s="5">
        <f>SUMIFS(Данные!$D$2:$D$1001,Данные!$B$2:$B$1001,$A37,Данные!$C$2:$C$1001,"2024-07*")</f>
        <v>0</v>
      </c>
      <c r="M37" s="5">
        <f>SUMIFS(Данные!$D$2:$D$1001,Данные!$B$2:$B$1001,$A37,Данные!$C$2:$C$1001,"2024-08*")</f>
        <v>112136</v>
      </c>
      <c r="N37" s="5">
        <f>SUMIFS(Данные!$D$2:$D$1001,Данные!$B$2:$B$1001,$A37,Данные!$C$2:$C$1001,"2024-09*")</f>
        <v>0</v>
      </c>
      <c r="O37" s="8" t="str">
        <f t="shared" si="5"/>
        <v>C</v>
      </c>
      <c r="P37" s="8" t="str">
        <f t="shared" si="6"/>
        <v>Z</v>
      </c>
      <c r="Q37" s="9">
        <f t="shared" si="7"/>
        <v>112136</v>
      </c>
    </row>
    <row r="38" spans="1:17" ht="14.25" customHeight="1" x14ac:dyDescent="0.25">
      <c r="A38" s="5" t="s">
        <v>50</v>
      </c>
      <c r="B38" s="5">
        <f>SUMIFS(Данные!$D$2:$D$1001,Данные!$B$2:$B$1001,$A38,Данные!$C$2:$C$1001,"2023-09*")</f>
        <v>90314</v>
      </c>
      <c r="C38" s="5">
        <f>SUMIFS(Данные!$D$2:$D$1001,Данные!$B$2:$B$1001,$A38,Данные!$C$2:$C$1001,"2023-10*")</f>
        <v>0</v>
      </c>
      <c r="D38" s="5">
        <f>SUMIFS(Данные!$D$2:$D$1001,Данные!$B$2:$B$1001,$A38,Данные!$C$2:$C$1001,"2023-11*")</f>
        <v>0</v>
      </c>
      <c r="E38" s="5">
        <f>SUMIFS(Данные!$D$2:$D$1001,Данные!$B$2:$B$1001,$A38,Данные!$C$2:$C$1001,"2023-12*")</f>
        <v>10680</v>
      </c>
      <c r="F38" s="5">
        <f>SUMIFS(Данные!$D$2:$D$1001,Данные!$B$2:$B$1001,$A38,Данные!$C$2:$C$1001,"2024-01*")</f>
        <v>98414</v>
      </c>
      <c r="G38" s="5">
        <f>SUMIFS(Данные!$D$2:$D$1001,Данные!$B$2:$B$1001,$A38,Данные!$C$2:$C$1001,"2024-02*")</f>
        <v>0</v>
      </c>
      <c r="H38" s="5">
        <f>SUMIFS(Данные!$D$2:$D$1001,Данные!$B$2:$B$1001,$A38,Данные!$C$2:$C$1001,"2024-03*")</f>
        <v>0</v>
      </c>
      <c r="I38" s="5">
        <f>SUMIFS(Данные!$D$2:$D$1001,Данные!$B$2:$B$1001,$A38,Данные!$C$2:$C$1001,"2024-04*")</f>
        <v>0</v>
      </c>
      <c r="J38" s="5">
        <f>SUMIFS(Данные!$D$2:$D$1001,Данные!$B$2:$B$1001,$A38,Данные!$C$2:$C$1001,"2024-05*")</f>
        <v>0</v>
      </c>
      <c r="K38" s="5">
        <f>SUMIFS(Данные!$D$2:$D$1001,Данные!$B$2:$B$1001,$A38,Данные!$C$2:$C$1001,"2024-06*")</f>
        <v>0</v>
      </c>
      <c r="L38" s="5">
        <f>SUMIFS(Данные!$D$2:$D$1001,Данные!$B$2:$B$1001,$A38,Данные!$C$2:$C$1001,"2024-07*")</f>
        <v>0</v>
      </c>
      <c r="M38" s="5">
        <f>SUMIFS(Данные!$D$2:$D$1001,Данные!$B$2:$B$1001,$A38,Данные!$C$2:$C$1001,"2024-08*")</f>
        <v>51892</v>
      </c>
      <c r="N38" s="5">
        <f>SUMIFS(Данные!$D$2:$D$1001,Данные!$B$2:$B$1001,$A38,Данные!$C$2:$C$1001,"2024-09*")</f>
        <v>0</v>
      </c>
      <c r="O38" s="8" t="str">
        <f t="shared" si="5"/>
        <v>A</v>
      </c>
      <c r="P38" s="8" t="str">
        <f t="shared" si="6"/>
        <v>Z</v>
      </c>
      <c r="Q38" s="9">
        <f t="shared" si="7"/>
        <v>251300</v>
      </c>
    </row>
    <row r="39" spans="1:17" ht="14.25" customHeight="1" x14ac:dyDescent="0.25">
      <c r="A39" s="5" t="s">
        <v>16</v>
      </c>
      <c r="B39" s="5">
        <f>SUMIFS(Данные!$D$2:$D$1001,Данные!$B$2:$B$1001,$A39,Данные!$C$2:$C$1001,"2023-09*")</f>
        <v>52009</v>
      </c>
      <c r="C39" s="5">
        <f>SUMIFS(Данные!$D$2:$D$1001,Данные!$B$2:$B$1001,$A39,Данные!$C$2:$C$1001,"2023-10*")</f>
        <v>0</v>
      </c>
      <c r="D39" s="5">
        <f>SUMIFS(Данные!$D$2:$D$1001,Данные!$B$2:$B$1001,$A39,Данные!$C$2:$C$1001,"2023-11*")</f>
        <v>63343</v>
      </c>
      <c r="E39" s="5">
        <f>SUMIFS(Данные!$D$2:$D$1001,Данные!$B$2:$B$1001,$A39,Данные!$C$2:$C$1001,"2023-12*")</f>
        <v>0</v>
      </c>
      <c r="F39" s="5">
        <f>SUMIFS(Данные!$D$2:$D$1001,Данные!$B$2:$B$1001,$A39,Данные!$C$2:$C$1001,"2024-01*")</f>
        <v>45710</v>
      </c>
      <c r="G39" s="5">
        <f>SUMIFS(Данные!$D$2:$D$1001,Данные!$B$2:$B$1001,$A39,Данные!$C$2:$C$1001,"2024-02*")</f>
        <v>23177</v>
      </c>
      <c r="H39" s="5">
        <f>SUMIFS(Данные!$D$2:$D$1001,Данные!$B$2:$B$1001,$A39,Данные!$C$2:$C$1001,"2024-03*")</f>
        <v>29035</v>
      </c>
      <c r="I39" s="5">
        <f>SUMIFS(Данные!$D$2:$D$1001,Данные!$B$2:$B$1001,$A39,Данные!$C$2:$C$1001,"2024-04*")</f>
        <v>0</v>
      </c>
      <c r="J39" s="5">
        <f>SUMIFS(Данные!$D$2:$D$1001,Данные!$B$2:$B$1001,$A39,Данные!$C$2:$C$1001,"2024-05*")</f>
        <v>0</v>
      </c>
      <c r="K39" s="5">
        <f>SUMIFS(Данные!$D$2:$D$1001,Данные!$B$2:$B$1001,$A39,Данные!$C$2:$C$1001,"2024-06*")</f>
        <v>49519</v>
      </c>
      <c r="L39" s="5">
        <f>SUMIFS(Данные!$D$2:$D$1001,Данные!$B$2:$B$1001,$A39,Данные!$C$2:$C$1001,"2024-07*")</f>
        <v>0</v>
      </c>
      <c r="M39" s="5">
        <f>SUMIFS(Данные!$D$2:$D$1001,Данные!$B$2:$B$1001,$A39,Данные!$C$2:$C$1001,"2024-08*")</f>
        <v>0</v>
      </c>
      <c r="N39" s="5">
        <f>SUMIFS(Данные!$D$2:$D$1001,Данные!$B$2:$B$1001,$A39,Данные!$C$2:$C$1001,"2024-09*")</f>
        <v>0</v>
      </c>
      <c r="O39" s="8" t="str">
        <f t="shared" si="5"/>
        <v>A</v>
      </c>
      <c r="P39" s="8" t="str">
        <f t="shared" si="6"/>
        <v>Z</v>
      </c>
      <c r="Q39" s="9">
        <f t="shared" si="7"/>
        <v>262793</v>
      </c>
    </row>
    <row r="40" spans="1:17" ht="14.25" customHeight="1" x14ac:dyDescent="0.25">
      <c r="A40" s="5" t="s">
        <v>85</v>
      </c>
      <c r="B40" s="5">
        <f>SUMIFS(Данные!$D$2:$D$1001,Данные!$B$2:$B$1001,$A40,Данные!$C$2:$C$1001,"2023-09*")</f>
        <v>64891</v>
      </c>
      <c r="C40" s="5">
        <f>SUMIFS(Данные!$D$2:$D$1001,Данные!$B$2:$B$1001,$A40,Данные!$C$2:$C$1001,"2023-10*")</f>
        <v>0</v>
      </c>
      <c r="D40" s="5">
        <f>SUMIFS(Данные!$D$2:$D$1001,Данные!$B$2:$B$1001,$A40,Данные!$C$2:$C$1001,"2023-11*")</f>
        <v>0</v>
      </c>
      <c r="E40" s="5">
        <f>SUMIFS(Данные!$D$2:$D$1001,Данные!$B$2:$B$1001,$A40,Данные!$C$2:$C$1001,"2023-12*")</f>
        <v>21329</v>
      </c>
      <c r="F40" s="5">
        <f>SUMIFS(Данные!$D$2:$D$1001,Данные!$B$2:$B$1001,$A40,Данные!$C$2:$C$1001,"2024-01*")</f>
        <v>0</v>
      </c>
      <c r="G40" s="5">
        <f>SUMIFS(Данные!$D$2:$D$1001,Данные!$B$2:$B$1001,$A40,Данные!$C$2:$C$1001,"2024-02*")</f>
        <v>0</v>
      </c>
      <c r="H40" s="5">
        <f>SUMIFS(Данные!$D$2:$D$1001,Данные!$B$2:$B$1001,$A40,Данные!$C$2:$C$1001,"2024-03*")</f>
        <v>56567</v>
      </c>
      <c r="I40" s="5">
        <f>SUMIFS(Данные!$D$2:$D$1001,Данные!$B$2:$B$1001,$A40,Данные!$C$2:$C$1001,"2024-04*")</f>
        <v>0</v>
      </c>
      <c r="J40" s="5">
        <f>SUMIFS(Данные!$D$2:$D$1001,Данные!$B$2:$B$1001,$A40,Данные!$C$2:$C$1001,"2024-05*")</f>
        <v>0</v>
      </c>
      <c r="K40" s="5">
        <f>SUMIFS(Данные!$D$2:$D$1001,Данные!$B$2:$B$1001,$A40,Данные!$C$2:$C$1001,"2024-06*")</f>
        <v>0</v>
      </c>
      <c r="L40" s="5">
        <f>SUMIFS(Данные!$D$2:$D$1001,Данные!$B$2:$B$1001,$A40,Данные!$C$2:$C$1001,"2024-07*")</f>
        <v>0</v>
      </c>
      <c r="M40" s="5">
        <f>SUMIFS(Данные!$D$2:$D$1001,Данные!$B$2:$B$1001,$A40,Данные!$C$2:$C$1001,"2024-08*")</f>
        <v>16916</v>
      </c>
      <c r="N40" s="5">
        <f>SUMIFS(Данные!$D$2:$D$1001,Данные!$B$2:$B$1001,$A40,Данные!$C$2:$C$1001,"2024-09*")</f>
        <v>0</v>
      </c>
      <c r="O40" s="8" t="str">
        <f t="shared" si="5"/>
        <v>B</v>
      </c>
      <c r="P40" s="8" t="str">
        <f t="shared" si="6"/>
        <v>Z</v>
      </c>
      <c r="Q40" s="9">
        <f t="shared" si="7"/>
        <v>159703</v>
      </c>
    </row>
    <row r="41" spans="1:17" ht="14.25" customHeight="1" x14ac:dyDescent="0.25">
      <c r="A41" s="5" t="s">
        <v>104</v>
      </c>
      <c r="B41" s="5">
        <f>SUMIFS(Данные!$D$2:$D$1001,Данные!$B$2:$B$1001,$A41,Данные!$C$2:$C$1001,"2023-09*")</f>
        <v>0</v>
      </c>
      <c r="C41" s="5">
        <f>SUMIFS(Данные!$D$2:$D$1001,Данные!$B$2:$B$1001,$A41,Данные!$C$2:$C$1001,"2023-10*")</f>
        <v>172308</v>
      </c>
      <c r="D41" s="5">
        <f>SUMIFS(Данные!$D$2:$D$1001,Данные!$B$2:$B$1001,$A41,Данные!$C$2:$C$1001,"2023-11*")</f>
        <v>20660</v>
      </c>
      <c r="E41" s="5">
        <f>SUMIFS(Данные!$D$2:$D$1001,Данные!$B$2:$B$1001,$A41,Данные!$C$2:$C$1001,"2023-12*")</f>
        <v>0</v>
      </c>
      <c r="F41" s="5">
        <f>SUMIFS(Данные!$D$2:$D$1001,Данные!$B$2:$B$1001,$A41,Данные!$C$2:$C$1001,"2024-01*")</f>
        <v>0</v>
      </c>
      <c r="G41" s="5">
        <f>SUMIFS(Данные!$D$2:$D$1001,Данные!$B$2:$B$1001,$A41,Данные!$C$2:$C$1001,"2024-02*")</f>
        <v>0</v>
      </c>
      <c r="H41" s="5">
        <f>SUMIFS(Данные!$D$2:$D$1001,Данные!$B$2:$B$1001,$A41,Данные!$C$2:$C$1001,"2024-03*")</f>
        <v>0</v>
      </c>
      <c r="I41" s="5">
        <f>SUMIFS(Данные!$D$2:$D$1001,Данные!$B$2:$B$1001,$A41,Данные!$C$2:$C$1001,"2024-04*")</f>
        <v>17939</v>
      </c>
      <c r="J41" s="5">
        <f>SUMIFS(Данные!$D$2:$D$1001,Данные!$B$2:$B$1001,$A41,Данные!$C$2:$C$1001,"2024-05*")</f>
        <v>0</v>
      </c>
      <c r="K41" s="5">
        <f>SUMIFS(Данные!$D$2:$D$1001,Данные!$B$2:$B$1001,$A41,Данные!$C$2:$C$1001,"2024-06*")</f>
        <v>0</v>
      </c>
      <c r="L41" s="5">
        <f>SUMIFS(Данные!$D$2:$D$1001,Данные!$B$2:$B$1001,$A41,Данные!$C$2:$C$1001,"2024-07*")</f>
        <v>0</v>
      </c>
      <c r="M41" s="5">
        <f>SUMIFS(Данные!$D$2:$D$1001,Данные!$B$2:$B$1001,$A41,Данные!$C$2:$C$1001,"2024-08*")</f>
        <v>0</v>
      </c>
      <c r="N41" s="5">
        <f>SUMIFS(Данные!$D$2:$D$1001,Данные!$B$2:$B$1001,$A41,Данные!$C$2:$C$1001,"2024-09*")</f>
        <v>0</v>
      </c>
      <c r="O41" s="8" t="str">
        <f t="shared" si="5"/>
        <v>B</v>
      </c>
      <c r="P41" s="8" t="str">
        <f t="shared" si="6"/>
        <v>Z</v>
      </c>
      <c r="Q41" s="9">
        <f t="shared" si="7"/>
        <v>210907</v>
      </c>
    </row>
    <row r="42" spans="1:17" ht="14.25" customHeight="1" x14ac:dyDescent="0.25">
      <c r="A42" s="5" t="s">
        <v>122</v>
      </c>
      <c r="B42" s="5">
        <f>SUMIFS(Данные!$D$2:$D$1001,Данные!$B$2:$B$1001,$A42,Данные!$C$2:$C$1001,"2023-09*")</f>
        <v>0</v>
      </c>
      <c r="C42" s="5">
        <f>SUMIFS(Данные!$D$2:$D$1001,Данные!$B$2:$B$1001,$A42,Данные!$C$2:$C$1001,"2023-10*")</f>
        <v>97876</v>
      </c>
      <c r="D42" s="5">
        <f>SUMIFS(Данные!$D$2:$D$1001,Данные!$B$2:$B$1001,$A42,Данные!$C$2:$C$1001,"2023-11*")</f>
        <v>0</v>
      </c>
      <c r="E42" s="5">
        <f>SUMIFS(Данные!$D$2:$D$1001,Данные!$B$2:$B$1001,$A42,Данные!$C$2:$C$1001,"2023-12*")</f>
        <v>64011</v>
      </c>
      <c r="F42" s="5">
        <f>SUMIFS(Данные!$D$2:$D$1001,Данные!$B$2:$B$1001,$A42,Данные!$C$2:$C$1001,"2024-01*")</f>
        <v>86423</v>
      </c>
      <c r="G42" s="5">
        <f>SUMIFS(Данные!$D$2:$D$1001,Данные!$B$2:$B$1001,$A42,Данные!$C$2:$C$1001,"2024-02*")</f>
        <v>0</v>
      </c>
      <c r="H42" s="5">
        <f>SUMIFS(Данные!$D$2:$D$1001,Данные!$B$2:$B$1001,$A42,Данные!$C$2:$C$1001,"2024-03*")</f>
        <v>0</v>
      </c>
      <c r="I42" s="5">
        <f>SUMIFS(Данные!$D$2:$D$1001,Данные!$B$2:$B$1001,$A42,Данные!$C$2:$C$1001,"2024-04*")</f>
        <v>0</v>
      </c>
      <c r="J42" s="5">
        <f>SUMIFS(Данные!$D$2:$D$1001,Данные!$B$2:$B$1001,$A42,Данные!$C$2:$C$1001,"2024-05*")</f>
        <v>0</v>
      </c>
      <c r="K42" s="5">
        <f>SUMIFS(Данные!$D$2:$D$1001,Данные!$B$2:$B$1001,$A42,Данные!$C$2:$C$1001,"2024-06*")</f>
        <v>0</v>
      </c>
      <c r="L42" s="5">
        <f>SUMIFS(Данные!$D$2:$D$1001,Данные!$B$2:$B$1001,$A42,Данные!$C$2:$C$1001,"2024-07*")</f>
        <v>0</v>
      </c>
      <c r="M42" s="5">
        <f>SUMIFS(Данные!$D$2:$D$1001,Данные!$B$2:$B$1001,$A42,Данные!$C$2:$C$1001,"2024-08*")</f>
        <v>49060</v>
      </c>
      <c r="N42" s="5">
        <f>SUMIFS(Данные!$D$2:$D$1001,Данные!$B$2:$B$1001,$A42,Данные!$C$2:$C$1001,"2024-09*")</f>
        <v>0</v>
      </c>
      <c r="O42" s="8" t="str">
        <f t="shared" si="5"/>
        <v>A</v>
      </c>
      <c r="P42" s="8" t="str">
        <f t="shared" si="6"/>
        <v>Z</v>
      </c>
      <c r="Q42" s="9">
        <f t="shared" si="7"/>
        <v>297370</v>
      </c>
    </row>
    <row r="43" spans="1:17" ht="14.25" customHeight="1" x14ac:dyDescent="0.25">
      <c r="A43" s="5" t="s">
        <v>39</v>
      </c>
      <c r="B43" s="5">
        <f>SUMIFS(Данные!$D$2:$D$1001,Данные!$B$2:$B$1001,$A43,Данные!$C$2:$C$1001,"2023-09*")</f>
        <v>119761</v>
      </c>
      <c r="C43" s="5">
        <f>SUMIFS(Данные!$D$2:$D$1001,Данные!$B$2:$B$1001,$A43,Данные!$C$2:$C$1001,"2023-10*")</f>
        <v>0</v>
      </c>
      <c r="D43" s="5">
        <f>SUMIFS(Данные!$D$2:$D$1001,Данные!$B$2:$B$1001,$A43,Данные!$C$2:$C$1001,"2023-11*")</f>
        <v>0</v>
      </c>
      <c r="E43" s="5">
        <f>SUMIFS(Данные!$D$2:$D$1001,Данные!$B$2:$B$1001,$A43,Данные!$C$2:$C$1001,"2023-12*")</f>
        <v>100413</v>
      </c>
      <c r="F43" s="5">
        <f>SUMIFS(Данные!$D$2:$D$1001,Данные!$B$2:$B$1001,$A43,Данные!$C$2:$C$1001,"2024-01*")</f>
        <v>0</v>
      </c>
      <c r="G43" s="5">
        <f>SUMIFS(Данные!$D$2:$D$1001,Данные!$B$2:$B$1001,$A43,Данные!$C$2:$C$1001,"2024-02*")</f>
        <v>0</v>
      </c>
      <c r="H43" s="5">
        <f>SUMIFS(Данные!$D$2:$D$1001,Данные!$B$2:$B$1001,$A43,Данные!$C$2:$C$1001,"2024-03*")</f>
        <v>0</v>
      </c>
      <c r="I43" s="5">
        <f>SUMIFS(Данные!$D$2:$D$1001,Данные!$B$2:$B$1001,$A43,Данные!$C$2:$C$1001,"2024-04*")</f>
        <v>0</v>
      </c>
      <c r="J43" s="5">
        <f>SUMIFS(Данные!$D$2:$D$1001,Данные!$B$2:$B$1001,$A43,Данные!$C$2:$C$1001,"2024-05*")</f>
        <v>0</v>
      </c>
      <c r="K43" s="5">
        <f>SUMIFS(Данные!$D$2:$D$1001,Данные!$B$2:$B$1001,$A43,Данные!$C$2:$C$1001,"2024-06*")</f>
        <v>44105</v>
      </c>
      <c r="L43" s="5">
        <f>SUMIFS(Данные!$D$2:$D$1001,Данные!$B$2:$B$1001,$A43,Данные!$C$2:$C$1001,"2024-07*")</f>
        <v>0</v>
      </c>
      <c r="M43" s="5">
        <f>SUMIFS(Данные!$D$2:$D$1001,Данные!$B$2:$B$1001,$A43,Данные!$C$2:$C$1001,"2024-08*")</f>
        <v>0</v>
      </c>
      <c r="N43" s="5">
        <f>SUMIFS(Данные!$D$2:$D$1001,Данные!$B$2:$B$1001,$A43,Данные!$C$2:$C$1001,"2024-09*")</f>
        <v>0</v>
      </c>
      <c r="O43" s="8" t="str">
        <f t="shared" si="5"/>
        <v>A</v>
      </c>
      <c r="P43" s="8" t="str">
        <f t="shared" si="6"/>
        <v>Z</v>
      </c>
      <c r="Q43" s="9">
        <f t="shared" si="7"/>
        <v>264279</v>
      </c>
    </row>
    <row r="44" spans="1:17" ht="14.25" customHeight="1" x14ac:dyDescent="0.25">
      <c r="A44" s="5" t="s">
        <v>152</v>
      </c>
      <c r="B44" s="5">
        <f>SUMIFS(Данные!$D$2:$D$1001,Данные!$B$2:$B$1001,$A44,Данные!$C$2:$C$1001,"2023-09*")</f>
        <v>0</v>
      </c>
      <c r="C44" s="5">
        <f>SUMIFS(Данные!$D$2:$D$1001,Данные!$B$2:$B$1001,$A44,Данные!$C$2:$C$1001,"2023-10*")</f>
        <v>65590</v>
      </c>
      <c r="D44" s="5">
        <f>SUMIFS(Данные!$D$2:$D$1001,Данные!$B$2:$B$1001,$A44,Данные!$C$2:$C$1001,"2023-11*")</f>
        <v>0</v>
      </c>
      <c r="E44" s="5">
        <f>SUMIFS(Данные!$D$2:$D$1001,Данные!$B$2:$B$1001,$A44,Данные!$C$2:$C$1001,"2023-12*")</f>
        <v>30743</v>
      </c>
      <c r="F44" s="5">
        <f>SUMIFS(Данные!$D$2:$D$1001,Данные!$B$2:$B$1001,$A44,Данные!$C$2:$C$1001,"2024-01*")</f>
        <v>0</v>
      </c>
      <c r="G44" s="5">
        <f>SUMIFS(Данные!$D$2:$D$1001,Данные!$B$2:$B$1001,$A44,Данные!$C$2:$C$1001,"2024-02*")</f>
        <v>0</v>
      </c>
      <c r="H44" s="5">
        <f>SUMIFS(Данные!$D$2:$D$1001,Данные!$B$2:$B$1001,$A44,Данные!$C$2:$C$1001,"2024-03*")</f>
        <v>0</v>
      </c>
      <c r="I44" s="5">
        <f>SUMIFS(Данные!$D$2:$D$1001,Данные!$B$2:$B$1001,$A44,Данные!$C$2:$C$1001,"2024-04*")</f>
        <v>0</v>
      </c>
      <c r="J44" s="5">
        <f>SUMIFS(Данные!$D$2:$D$1001,Данные!$B$2:$B$1001,$A44,Данные!$C$2:$C$1001,"2024-05*")</f>
        <v>35644</v>
      </c>
      <c r="K44" s="5">
        <f>SUMIFS(Данные!$D$2:$D$1001,Данные!$B$2:$B$1001,$A44,Данные!$C$2:$C$1001,"2024-06*")</f>
        <v>0</v>
      </c>
      <c r="L44" s="5">
        <f>SUMIFS(Данные!$D$2:$D$1001,Данные!$B$2:$B$1001,$A44,Данные!$C$2:$C$1001,"2024-07*")</f>
        <v>0</v>
      </c>
      <c r="M44" s="5">
        <f>SUMIFS(Данные!$D$2:$D$1001,Данные!$B$2:$B$1001,$A44,Данные!$C$2:$C$1001,"2024-08*")</f>
        <v>96144</v>
      </c>
      <c r="N44" s="5">
        <f>SUMIFS(Данные!$D$2:$D$1001,Данные!$B$2:$B$1001,$A44,Данные!$C$2:$C$1001,"2024-09*")</f>
        <v>0</v>
      </c>
      <c r="O44" s="8" t="str">
        <f t="shared" si="5"/>
        <v>B</v>
      </c>
      <c r="P44" s="8" t="str">
        <f t="shared" si="6"/>
        <v>Z</v>
      </c>
      <c r="Q44" s="9">
        <f t="shared" si="7"/>
        <v>228121</v>
      </c>
    </row>
    <row r="45" spans="1:17" ht="14.25" customHeight="1" x14ac:dyDescent="0.25">
      <c r="A45" s="5" t="s">
        <v>229</v>
      </c>
      <c r="B45" s="5">
        <f>SUMIFS(Данные!$D$2:$D$1001,Данные!$B$2:$B$1001,$A45,Данные!$C$2:$C$1001,"2023-09*")</f>
        <v>0</v>
      </c>
      <c r="C45" s="5">
        <f>SUMIFS(Данные!$D$2:$D$1001,Данные!$B$2:$B$1001,$A45,Данные!$C$2:$C$1001,"2023-10*")</f>
        <v>0</v>
      </c>
      <c r="D45" s="5">
        <f>SUMIFS(Данные!$D$2:$D$1001,Данные!$B$2:$B$1001,$A45,Данные!$C$2:$C$1001,"2023-11*")</f>
        <v>0</v>
      </c>
      <c r="E45" s="5">
        <f>SUMIFS(Данные!$D$2:$D$1001,Данные!$B$2:$B$1001,$A45,Данные!$C$2:$C$1001,"2023-12*")</f>
        <v>47939</v>
      </c>
      <c r="F45" s="5">
        <f>SUMIFS(Данные!$D$2:$D$1001,Данные!$B$2:$B$1001,$A45,Данные!$C$2:$C$1001,"2024-01*")</f>
        <v>0</v>
      </c>
      <c r="G45" s="5">
        <f>SUMIFS(Данные!$D$2:$D$1001,Данные!$B$2:$B$1001,$A45,Данные!$C$2:$C$1001,"2024-02*")</f>
        <v>0</v>
      </c>
      <c r="H45" s="5">
        <f>SUMIFS(Данные!$D$2:$D$1001,Данные!$B$2:$B$1001,$A45,Данные!$C$2:$C$1001,"2024-03*")</f>
        <v>55618</v>
      </c>
      <c r="I45" s="5">
        <f>SUMIFS(Данные!$D$2:$D$1001,Данные!$B$2:$B$1001,$A45,Данные!$C$2:$C$1001,"2024-04*")</f>
        <v>0</v>
      </c>
      <c r="J45" s="5">
        <f>SUMIFS(Данные!$D$2:$D$1001,Данные!$B$2:$B$1001,$A45,Данные!$C$2:$C$1001,"2024-05*")</f>
        <v>0</v>
      </c>
      <c r="K45" s="5">
        <f>SUMIFS(Данные!$D$2:$D$1001,Данные!$B$2:$B$1001,$A45,Данные!$C$2:$C$1001,"2024-06*")</f>
        <v>54796</v>
      </c>
      <c r="L45" s="5">
        <f>SUMIFS(Данные!$D$2:$D$1001,Данные!$B$2:$B$1001,$A45,Данные!$C$2:$C$1001,"2024-07*")</f>
        <v>0</v>
      </c>
      <c r="M45" s="5">
        <f>SUMIFS(Данные!$D$2:$D$1001,Данные!$B$2:$B$1001,$A45,Данные!$C$2:$C$1001,"2024-08*")</f>
        <v>40219</v>
      </c>
      <c r="N45" s="5">
        <f>SUMIFS(Данные!$D$2:$D$1001,Данные!$B$2:$B$1001,$A45,Данные!$C$2:$C$1001,"2024-09*")</f>
        <v>0</v>
      </c>
      <c r="O45" s="8" t="str">
        <f t="shared" si="5"/>
        <v>B</v>
      </c>
      <c r="P45" s="8" t="str">
        <f t="shared" si="6"/>
        <v>Z</v>
      </c>
      <c r="Q45" s="9">
        <f t="shared" si="7"/>
        <v>198572</v>
      </c>
    </row>
    <row r="46" spans="1:17" ht="14.25" customHeight="1" x14ac:dyDescent="0.25">
      <c r="A46" s="5" t="s">
        <v>33</v>
      </c>
      <c r="B46" s="5">
        <f>SUMIFS(Данные!$D$2:$D$1001,Данные!$B$2:$B$1001,$A46,Данные!$C$2:$C$1001,"2023-09*")</f>
        <v>112342</v>
      </c>
      <c r="C46" s="5">
        <f>SUMIFS(Данные!$D$2:$D$1001,Данные!$B$2:$B$1001,$A46,Данные!$C$2:$C$1001,"2023-10*")</f>
        <v>25935</v>
      </c>
      <c r="D46" s="5">
        <f>SUMIFS(Данные!$D$2:$D$1001,Данные!$B$2:$B$1001,$A46,Данные!$C$2:$C$1001,"2023-11*")</f>
        <v>0</v>
      </c>
      <c r="E46" s="5">
        <f>SUMIFS(Данные!$D$2:$D$1001,Данные!$B$2:$B$1001,$A46,Данные!$C$2:$C$1001,"2023-12*")</f>
        <v>0</v>
      </c>
      <c r="F46" s="5">
        <f>SUMIFS(Данные!$D$2:$D$1001,Данные!$B$2:$B$1001,$A46,Данные!$C$2:$C$1001,"2024-01*")</f>
        <v>0</v>
      </c>
      <c r="G46" s="5">
        <f>SUMIFS(Данные!$D$2:$D$1001,Данные!$B$2:$B$1001,$A46,Данные!$C$2:$C$1001,"2024-02*")</f>
        <v>0</v>
      </c>
      <c r="H46" s="5">
        <f>SUMIFS(Данные!$D$2:$D$1001,Данные!$B$2:$B$1001,$A46,Данные!$C$2:$C$1001,"2024-03*")</f>
        <v>0</v>
      </c>
      <c r="I46" s="5">
        <f>SUMIFS(Данные!$D$2:$D$1001,Данные!$B$2:$B$1001,$A46,Данные!$C$2:$C$1001,"2024-04*")</f>
        <v>0</v>
      </c>
      <c r="J46" s="5">
        <f>SUMIFS(Данные!$D$2:$D$1001,Данные!$B$2:$B$1001,$A46,Данные!$C$2:$C$1001,"2024-05*")</f>
        <v>72128</v>
      </c>
      <c r="K46" s="5">
        <f>SUMIFS(Данные!$D$2:$D$1001,Данные!$B$2:$B$1001,$A46,Данные!$C$2:$C$1001,"2024-06*")</f>
        <v>0</v>
      </c>
      <c r="L46" s="5">
        <f>SUMIFS(Данные!$D$2:$D$1001,Данные!$B$2:$B$1001,$A46,Данные!$C$2:$C$1001,"2024-07*")</f>
        <v>0</v>
      </c>
      <c r="M46" s="5">
        <f>SUMIFS(Данные!$D$2:$D$1001,Данные!$B$2:$B$1001,$A46,Данные!$C$2:$C$1001,"2024-08*")</f>
        <v>46368</v>
      </c>
      <c r="N46" s="5">
        <f>SUMIFS(Данные!$D$2:$D$1001,Данные!$B$2:$B$1001,$A46,Данные!$C$2:$C$1001,"2024-09*")</f>
        <v>0</v>
      </c>
      <c r="O46" s="8" t="str">
        <f t="shared" si="5"/>
        <v>A</v>
      </c>
      <c r="P46" s="8" t="str">
        <f t="shared" si="6"/>
        <v>Z</v>
      </c>
      <c r="Q46" s="9">
        <f t="shared" si="7"/>
        <v>256773</v>
      </c>
    </row>
    <row r="47" spans="1:17" ht="14.25" customHeight="1" x14ac:dyDescent="0.25">
      <c r="A47" s="5" t="s">
        <v>78</v>
      </c>
      <c r="B47" s="5">
        <f>SUMIFS(Данные!$D$2:$D$1001,Данные!$B$2:$B$1001,$A47,Данные!$C$2:$C$1001,"2023-09*")</f>
        <v>165479</v>
      </c>
      <c r="C47" s="5">
        <f>SUMIFS(Данные!$D$2:$D$1001,Данные!$B$2:$B$1001,$A47,Данные!$C$2:$C$1001,"2023-10*")</f>
        <v>49793</v>
      </c>
      <c r="D47" s="5">
        <f>SUMIFS(Данные!$D$2:$D$1001,Данные!$B$2:$B$1001,$A47,Данные!$C$2:$C$1001,"2023-11*")</f>
        <v>0</v>
      </c>
      <c r="E47" s="5">
        <f>SUMIFS(Данные!$D$2:$D$1001,Данные!$B$2:$B$1001,$A47,Данные!$C$2:$C$1001,"2023-12*")</f>
        <v>0</v>
      </c>
      <c r="F47" s="5">
        <f>SUMIFS(Данные!$D$2:$D$1001,Данные!$B$2:$B$1001,$A47,Данные!$C$2:$C$1001,"2024-01*")</f>
        <v>0</v>
      </c>
      <c r="G47" s="5">
        <f>SUMIFS(Данные!$D$2:$D$1001,Данные!$B$2:$B$1001,$A47,Данные!$C$2:$C$1001,"2024-02*")</f>
        <v>0</v>
      </c>
      <c r="H47" s="5">
        <f>SUMIFS(Данные!$D$2:$D$1001,Данные!$B$2:$B$1001,$A47,Данные!$C$2:$C$1001,"2024-03*")</f>
        <v>0</v>
      </c>
      <c r="I47" s="5">
        <f>SUMIFS(Данные!$D$2:$D$1001,Данные!$B$2:$B$1001,$A47,Данные!$C$2:$C$1001,"2024-04*")</f>
        <v>0</v>
      </c>
      <c r="J47" s="5">
        <f>SUMIFS(Данные!$D$2:$D$1001,Данные!$B$2:$B$1001,$A47,Данные!$C$2:$C$1001,"2024-05*")</f>
        <v>11854</v>
      </c>
      <c r="K47" s="5">
        <f>SUMIFS(Данные!$D$2:$D$1001,Данные!$B$2:$B$1001,$A47,Данные!$C$2:$C$1001,"2024-06*")</f>
        <v>0</v>
      </c>
      <c r="L47" s="5">
        <f>SUMIFS(Данные!$D$2:$D$1001,Данные!$B$2:$B$1001,$A47,Данные!$C$2:$C$1001,"2024-07*")</f>
        <v>0</v>
      </c>
      <c r="M47" s="5">
        <f>SUMIFS(Данные!$D$2:$D$1001,Данные!$B$2:$B$1001,$A47,Данные!$C$2:$C$1001,"2024-08*")</f>
        <v>0</v>
      </c>
      <c r="N47" s="5">
        <f>SUMIFS(Данные!$D$2:$D$1001,Данные!$B$2:$B$1001,$A47,Данные!$C$2:$C$1001,"2024-09*")</f>
        <v>0</v>
      </c>
      <c r="O47" s="8" t="str">
        <f t="shared" si="5"/>
        <v>B</v>
      </c>
      <c r="P47" s="8" t="str">
        <f t="shared" si="6"/>
        <v>Z</v>
      </c>
      <c r="Q47" s="9">
        <f t="shared" si="7"/>
        <v>227126</v>
      </c>
    </row>
    <row r="48" spans="1:17" ht="14.25" customHeight="1" x14ac:dyDescent="0.25">
      <c r="A48" s="5" t="s">
        <v>43</v>
      </c>
      <c r="B48" s="5">
        <f>SUMIFS(Данные!$D$2:$D$1001,Данные!$B$2:$B$1001,$A48,Данные!$C$2:$C$1001,"2023-09*")</f>
        <v>32365</v>
      </c>
      <c r="C48" s="5">
        <f>SUMIFS(Данные!$D$2:$D$1001,Данные!$B$2:$B$1001,$A48,Данные!$C$2:$C$1001,"2023-10*")</f>
        <v>0</v>
      </c>
      <c r="D48" s="5">
        <f>SUMIFS(Данные!$D$2:$D$1001,Данные!$B$2:$B$1001,$A48,Данные!$C$2:$C$1001,"2023-11*")</f>
        <v>0</v>
      </c>
      <c r="E48" s="5">
        <f>SUMIFS(Данные!$D$2:$D$1001,Данные!$B$2:$B$1001,$A48,Данные!$C$2:$C$1001,"2023-12*")</f>
        <v>0</v>
      </c>
      <c r="F48" s="5">
        <f>SUMIFS(Данные!$D$2:$D$1001,Данные!$B$2:$B$1001,$A48,Данные!$C$2:$C$1001,"2024-01*")</f>
        <v>86041</v>
      </c>
      <c r="G48" s="5">
        <f>SUMIFS(Данные!$D$2:$D$1001,Данные!$B$2:$B$1001,$A48,Данные!$C$2:$C$1001,"2024-02*")</f>
        <v>0</v>
      </c>
      <c r="H48" s="5">
        <f>SUMIFS(Данные!$D$2:$D$1001,Данные!$B$2:$B$1001,$A48,Данные!$C$2:$C$1001,"2024-03*")</f>
        <v>0</v>
      </c>
      <c r="I48" s="5">
        <f>SUMIFS(Данные!$D$2:$D$1001,Данные!$B$2:$B$1001,$A48,Данные!$C$2:$C$1001,"2024-04*")</f>
        <v>78585</v>
      </c>
      <c r="J48" s="5">
        <f>SUMIFS(Данные!$D$2:$D$1001,Данные!$B$2:$B$1001,$A48,Данные!$C$2:$C$1001,"2024-05*")</f>
        <v>0</v>
      </c>
      <c r="K48" s="5">
        <f>SUMIFS(Данные!$D$2:$D$1001,Данные!$B$2:$B$1001,$A48,Данные!$C$2:$C$1001,"2024-06*")</f>
        <v>0</v>
      </c>
      <c r="L48" s="5">
        <f>SUMIFS(Данные!$D$2:$D$1001,Данные!$B$2:$B$1001,$A48,Данные!$C$2:$C$1001,"2024-07*")</f>
        <v>121826</v>
      </c>
      <c r="M48" s="5">
        <f>SUMIFS(Данные!$D$2:$D$1001,Данные!$B$2:$B$1001,$A48,Данные!$C$2:$C$1001,"2024-08*")</f>
        <v>0</v>
      </c>
      <c r="N48" s="5">
        <f>SUMIFS(Данные!$D$2:$D$1001,Данные!$B$2:$B$1001,$A48,Данные!$C$2:$C$1001,"2024-09*")</f>
        <v>0</v>
      </c>
      <c r="O48" s="8" t="str">
        <f t="shared" si="5"/>
        <v>A</v>
      </c>
      <c r="P48" s="8" t="str">
        <f t="shared" si="6"/>
        <v>Z</v>
      </c>
      <c r="Q48" s="9">
        <f t="shared" si="7"/>
        <v>318817</v>
      </c>
    </row>
    <row r="49" spans="1:17" ht="14.25" customHeight="1" x14ac:dyDescent="0.25">
      <c r="A49" s="5" t="s">
        <v>278</v>
      </c>
      <c r="B49" s="5">
        <f>SUMIFS(Данные!$D$2:$D$1001,Данные!$B$2:$B$1001,$A49,Данные!$C$2:$C$1001,"2023-09*")</f>
        <v>0</v>
      </c>
      <c r="C49" s="5">
        <f>SUMIFS(Данные!$D$2:$D$1001,Данные!$B$2:$B$1001,$A49,Данные!$C$2:$C$1001,"2023-10*")</f>
        <v>0</v>
      </c>
      <c r="D49" s="5">
        <f>SUMIFS(Данные!$D$2:$D$1001,Данные!$B$2:$B$1001,$A49,Данные!$C$2:$C$1001,"2023-11*")</f>
        <v>0</v>
      </c>
      <c r="E49" s="5">
        <f>SUMIFS(Данные!$D$2:$D$1001,Данные!$B$2:$B$1001,$A49,Данные!$C$2:$C$1001,"2023-12*")</f>
        <v>0</v>
      </c>
      <c r="F49" s="5">
        <f>SUMIFS(Данные!$D$2:$D$1001,Данные!$B$2:$B$1001,$A49,Данные!$C$2:$C$1001,"2024-01*")</f>
        <v>25476</v>
      </c>
      <c r="G49" s="5">
        <f>SUMIFS(Данные!$D$2:$D$1001,Данные!$B$2:$B$1001,$A49,Данные!$C$2:$C$1001,"2024-02*")</f>
        <v>0</v>
      </c>
      <c r="H49" s="5">
        <f>SUMIFS(Данные!$D$2:$D$1001,Данные!$B$2:$B$1001,$A49,Данные!$C$2:$C$1001,"2024-03*")</f>
        <v>0</v>
      </c>
      <c r="I49" s="5">
        <f>SUMIFS(Данные!$D$2:$D$1001,Данные!$B$2:$B$1001,$A49,Данные!$C$2:$C$1001,"2024-04*")</f>
        <v>14031</v>
      </c>
      <c r="J49" s="5">
        <f>SUMIFS(Данные!$D$2:$D$1001,Данные!$B$2:$B$1001,$A49,Данные!$C$2:$C$1001,"2024-05*")</f>
        <v>77737</v>
      </c>
      <c r="K49" s="5">
        <f>SUMIFS(Данные!$D$2:$D$1001,Данные!$B$2:$B$1001,$A49,Данные!$C$2:$C$1001,"2024-06*")</f>
        <v>0</v>
      </c>
      <c r="L49" s="5">
        <f>SUMIFS(Данные!$D$2:$D$1001,Данные!$B$2:$B$1001,$A49,Данные!$C$2:$C$1001,"2024-07*")</f>
        <v>0</v>
      </c>
      <c r="M49" s="5">
        <f>SUMIFS(Данные!$D$2:$D$1001,Данные!$B$2:$B$1001,$A49,Данные!$C$2:$C$1001,"2024-08*")</f>
        <v>60873</v>
      </c>
      <c r="N49" s="5">
        <f>SUMIFS(Данные!$D$2:$D$1001,Данные!$B$2:$B$1001,$A49,Данные!$C$2:$C$1001,"2024-09*")</f>
        <v>0</v>
      </c>
      <c r="O49" s="8" t="str">
        <f t="shared" si="5"/>
        <v>B</v>
      </c>
      <c r="P49" s="8" t="str">
        <f t="shared" si="6"/>
        <v>Z</v>
      </c>
      <c r="Q49" s="9">
        <f t="shared" si="7"/>
        <v>178117</v>
      </c>
    </row>
    <row r="50" spans="1:17" ht="14.25" customHeight="1" x14ac:dyDescent="0.25">
      <c r="A50" s="5" t="s">
        <v>119</v>
      </c>
      <c r="B50" s="5">
        <f>SUMIFS(Данные!$D$2:$D$1001,Данные!$B$2:$B$1001,$A50,Данные!$C$2:$C$1001,"2023-09*")</f>
        <v>0</v>
      </c>
      <c r="C50" s="5">
        <f>SUMIFS(Данные!$D$2:$D$1001,Данные!$B$2:$B$1001,$A50,Данные!$C$2:$C$1001,"2023-10*")</f>
        <v>125611</v>
      </c>
      <c r="D50" s="5">
        <f>SUMIFS(Данные!$D$2:$D$1001,Данные!$B$2:$B$1001,$A50,Данные!$C$2:$C$1001,"2023-11*")</f>
        <v>0</v>
      </c>
      <c r="E50" s="5">
        <f>SUMIFS(Данные!$D$2:$D$1001,Данные!$B$2:$B$1001,$A50,Данные!$C$2:$C$1001,"2023-12*")</f>
        <v>0</v>
      </c>
      <c r="F50" s="5">
        <f>SUMIFS(Данные!$D$2:$D$1001,Данные!$B$2:$B$1001,$A50,Данные!$C$2:$C$1001,"2024-01*")</f>
        <v>73705</v>
      </c>
      <c r="G50" s="5">
        <f>SUMIFS(Данные!$D$2:$D$1001,Данные!$B$2:$B$1001,$A50,Данные!$C$2:$C$1001,"2024-02*")</f>
        <v>99272</v>
      </c>
      <c r="H50" s="5">
        <f>SUMIFS(Данные!$D$2:$D$1001,Данные!$B$2:$B$1001,$A50,Данные!$C$2:$C$1001,"2024-03*")</f>
        <v>0</v>
      </c>
      <c r="I50" s="5">
        <f>SUMIFS(Данные!$D$2:$D$1001,Данные!$B$2:$B$1001,$A50,Данные!$C$2:$C$1001,"2024-04*")</f>
        <v>0</v>
      </c>
      <c r="J50" s="5">
        <f>SUMIFS(Данные!$D$2:$D$1001,Данные!$B$2:$B$1001,$A50,Данные!$C$2:$C$1001,"2024-05*")</f>
        <v>0</v>
      </c>
      <c r="K50" s="5">
        <f>SUMIFS(Данные!$D$2:$D$1001,Данные!$B$2:$B$1001,$A50,Данные!$C$2:$C$1001,"2024-06*")</f>
        <v>0</v>
      </c>
      <c r="L50" s="5">
        <f>SUMIFS(Данные!$D$2:$D$1001,Данные!$B$2:$B$1001,$A50,Данные!$C$2:$C$1001,"2024-07*")</f>
        <v>0</v>
      </c>
      <c r="M50" s="5">
        <f>SUMIFS(Данные!$D$2:$D$1001,Данные!$B$2:$B$1001,$A50,Данные!$C$2:$C$1001,"2024-08*")</f>
        <v>101285</v>
      </c>
      <c r="N50" s="5">
        <f>SUMIFS(Данные!$D$2:$D$1001,Данные!$B$2:$B$1001,$A50,Данные!$C$2:$C$1001,"2024-09*")</f>
        <v>0</v>
      </c>
      <c r="O50" s="8" t="str">
        <f t="shared" si="5"/>
        <v>A</v>
      </c>
      <c r="P50" s="8" t="str">
        <f t="shared" si="6"/>
        <v>Z</v>
      </c>
      <c r="Q50" s="9">
        <f t="shared" si="7"/>
        <v>399873</v>
      </c>
    </row>
    <row r="51" spans="1:17" ht="14.25" customHeight="1" x14ac:dyDescent="0.25">
      <c r="A51" s="5" t="s">
        <v>148</v>
      </c>
      <c r="B51" s="5">
        <f>SUMIFS(Данные!$D$2:$D$1001,Данные!$B$2:$B$1001,$A51,Данные!$C$2:$C$1001,"2023-09*")</f>
        <v>0</v>
      </c>
      <c r="C51" s="5">
        <f>SUMIFS(Данные!$D$2:$D$1001,Данные!$B$2:$B$1001,$A51,Данные!$C$2:$C$1001,"2023-10*")</f>
        <v>139343</v>
      </c>
      <c r="D51" s="5">
        <f>SUMIFS(Данные!$D$2:$D$1001,Данные!$B$2:$B$1001,$A51,Данные!$C$2:$C$1001,"2023-11*")</f>
        <v>94641</v>
      </c>
      <c r="E51" s="5">
        <f>SUMIFS(Данные!$D$2:$D$1001,Данные!$B$2:$B$1001,$A51,Данные!$C$2:$C$1001,"2023-12*")</f>
        <v>56279</v>
      </c>
      <c r="F51" s="5">
        <f>SUMIFS(Данные!$D$2:$D$1001,Данные!$B$2:$B$1001,$A51,Данные!$C$2:$C$1001,"2024-01*")</f>
        <v>0</v>
      </c>
      <c r="G51" s="5">
        <f>SUMIFS(Данные!$D$2:$D$1001,Данные!$B$2:$B$1001,$A51,Данные!$C$2:$C$1001,"2024-02*")</f>
        <v>100785</v>
      </c>
      <c r="H51" s="5">
        <f>SUMIFS(Данные!$D$2:$D$1001,Данные!$B$2:$B$1001,$A51,Данные!$C$2:$C$1001,"2024-03*")</f>
        <v>81456</v>
      </c>
      <c r="I51" s="5">
        <f>SUMIFS(Данные!$D$2:$D$1001,Данные!$B$2:$B$1001,$A51,Данные!$C$2:$C$1001,"2024-04*")</f>
        <v>0</v>
      </c>
      <c r="J51" s="5">
        <f>SUMIFS(Данные!$D$2:$D$1001,Данные!$B$2:$B$1001,$A51,Данные!$C$2:$C$1001,"2024-05*")</f>
        <v>102472</v>
      </c>
      <c r="K51" s="5">
        <f>SUMIFS(Данные!$D$2:$D$1001,Данные!$B$2:$B$1001,$A51,Данные!$C$2:$C$1001,"2024-06*")</f>
        <v>0</v>
      </c>
      <c r="L51" s="5">
        <f>SUMIFS(Данные!$D$2:$D$1001,Данные!$B$2:$B$1001,$A51,Данные!$C$2:$C$1001,"2024-07*")</f>
        <v>98060</v>
      </c>
      <c r="M51" s="5">
        <f>SUMIFS(Данные!$D$2:$D$1001,Данные!$B$2:$B$1001,$A51,Данные!$C$2:$C$1001,"2024-08*")</f>
        <v>44218</v>
      </c>
      <c r="N51" s="5">
        <f>SUMIFS(Данные!$D$2:$D$1001,Данные!$B$2:$B$1001,$A51,Данные!$C$2:$C$1001,"2024-09*")</f>
        <v>0</v>
      </c>
      <c r="O51" s="8" t="str">
        <f t="shared" si="5"/>
        <v>A</v>
      </c>
      <c r="P51" s="8" t="str">
        <f t="shared" si="6"/>
        <v>Z</v>
      </c>
      <c r="Q51" s="9">
        <f t="shared" si="7"/>
        <v>717254</v>
      </c>
    </row>
    <row r="52" spans="1:17" ht="14.25" customHeight="1" x14ac:dyDescent="0.25">
      <c r="A52" s="5" t="s">
        <v>300</v>
      </c>
      <c r="B52" s="5">
        <f>SUMIFS(Данные!$D$2:$D$1001,Данные!$B$2:$B$1001,$A52,Данные!$C$2:$C$1001,"2023-09*")</f>
        <v>0</v>
      </c>
      <c r="C52" s="5">
        <f>SUMIFS(Данные!$D$2:$D$1001,Данные!$B$2:$B$1001,$A52,Данные!$C$2:$C$1001,"2023-10*")</f>
        <v>0</v>
      </c>
      <c r="D52" s="5">
        <f>SUMIFS(Данные!$D$2:$D$1001,Данные!$B$2:$B$1001,$A52,Данные!$C$2:$C$1001,"2023-11*")</f>
        <v>0</v>
      </c>
      <c r="E52" s="5">
        <f>SUMIFS(Данные!$D$2:$D$1001,Данные!$B$2:$B$1001,$A52,Данные!$C$2:$C$1001,"2023-12*")</f>
        <v>0</v>
      </c>
      <c r="F52" s="5">
        <f>SUMIFS(Данные!$D$2:$D$1001,Данные!$B$2:$B$1001,$A52,Данные!$C$2:$C$1001,"2024-01*")</f>
        <v>0</v>
      </c>
      <c r="G52" s="5">
        <f>SUMIFS(Данные!$D$2:$D$1001,Данные!$B$2:$B$1001,$A52,Данные!$C$2:$C$1001,"2024-02*")</f>
        <v>91224</v>
      </c>
      <c r="H52" s="5">
        <f>SUMIFS(Данные!$D$2:$D$1001,Данные!$B$2:$B$1001,$A52,Данные!$C$2:$C$1001,"2024-03*")</f>
        <v>0</v>
      </c>
      <c r="I52" s="5">
        <f>SUMIFS(Данные!$D$2:$D$1001,Данные!$B$2:$B$1001,$A52,Данные!$C$2:$C$1001,"2024-04*")</f>
        <v>0</v>
      </c>
      <c r="J52" s="5">
        <f>SUMIFS(Данные!$D$2:$D$1001,Данные!$B$2:$B$1001,$A52,Данные!$C$2:$C$1001,"2024-05*")</f>
        <v>104403</v>
      </c>
      <c r="K52" s="5">
        <f>SUMIFS(Данные!$D$2:$D$1001,Данные!$B$2:$B$1001,$A52,Данные!$C$2:$C$1001,"2024-06*")</f>
        <v>0</v>
      </c>
      <c r="L52" s="5">
        <f>SUMIFS(Данные!$D$2:$D$1001,Данные!$B$2:$B$1001,$A52,Данные!$C$2:$C$1001,"2024-07*")</f>
        <v>0</v>
      </c>
      <c r="M52" s="5">
        <f>SUMIFS(Данные!$D$2:$D$1001,Данные!$B$2:$B$1001,$A52,Данные!$C$2:$C$1001,"2024-08*")</f>
        <v>0</v>
      </c>
      <c r="N52" s="5">
        <f>SUMIFS(Данные!$D$2:$D$1001,Данные!$B$2:$B$1001,$A52,Данные!$C$2:$C$1001,"2024-09*")</f>
        <v>0</v>
      </c>
      <c r="O52" s="8" t="str">
        <f t="shared" si="5"/>
        <v>B</v>
      </c>
      <c r="P52" s="8" t="str">
        <f t="shared" si="6"/>
        <v>Z</v>
      </c>
      <c r="Q52" s="9">
        <f t="shared" si="7"/>
        <v>195627</v>
      </c>
    </row>
    <row r="53" spans="1:17" ht="14.25" customHeight="1" x14ac:dyDescent="0.25">
      <c r="A53" s="5" t="s">
        <v>270</v>
      </c>
      <c r="B53" s="5">
        <f>SUMIFS(Данные!$D$2:$D$1001,Данные!$B$2:$B$1001,$A53,Данные!$C$2:$C$1001,"2023-09*")</f>
        <v>0</v>
      </c>
      <c r="C53" s="5">
        <f>SUMIFS(Данные!$D$2:$D$1001,Данные!$B$2:$B$1001,$A53,Данные!$C$2:$C$1001,"2023-10*")</f>
        <v>0</v>
      </c>
      <c r="D53" s="5">
        <f>SUMIFS(Данные!$D$2:$D$1001,Данные!$B$2:$B$1001,$A53,Данные!$C$2:$C$1001,"2023-11*")</f>
        <v>0</v>
      </c>
      <c r="E53" s="5">
        <f>SUMIFS(Данные!$D$2:$D$1001,Данные!$B$2:$B$1001,$A53,Данные!$C$2:$C$1001,"2023-12*")</f>
        <v>0</v>
      </c>
      <c r="F53" s="5">
        <f>SUMIFS(Данные!$D$2:$D$1001,Данные!$B$2:$B$1001,$A53,Данные!$C$2:$C$1001,"2024-01*")</f>
        <v>21978</v>
      </c>
      <c r="G53" s="5">
        <f>SUMIFS(Данные!$D$2:$D$1001,Данные!$B$2:$B$1001,$A53,Данные!$C$2:$C$1001,"2024-02*")</f>
        <v>69411</v>
      </c>
      <c r="H53" s="5">
        <f>SUMIFS(Данные!$D$2:$D$1001,Данные!$B$2:$B$1001,$A53,Данные!$C$2:$C$1001,"2024-03*")</f>
        <v>45530</v>
      </c>
      <c r="I53" s="5">
        <f>SUMIFS(Данные!$D$2:$D$1001,Данные!$B$2:$B$1001,$A53,Данные!$C$2:$C$1001,"2024-04*")</f>
        <v>0</v>
      </c>
      <c r="J53" s="5">
        <f>SUMIFS(Данные!$D$2:$D$1001,Данные!$B$2:$B$1001,$A53,Данные!$C$2:$C$1001,"2024-05*")</f>
        <v>56230</v>
      </c>
      <c r="K53" s="5">
        <f>SUMIFS(Данные!$D$2:$D$1001,Данные!$B$2:$B$1001,$A53,Данные!$C$2:$C$1001,"2024-06*")</f>
        <v>45691</v>
      </c>
      <c r="L53" s="5">
        <f>SUMIFS(Данные!$D$2:$D$1001,Данные!$B$2:$B$1001,$A53,Данные!$C$2:$C$1001,"2024-07*")</f>
        <v>0</v>
      </c>
      <c r="M53" s="5">
        <f>SUMIFS(Данные!$D$2:$D$1001,Данные!$B$2:$B$1001,$A53,Данные!$C$2:$C$1001,"2024-08*")</f>
        <v>0</v>
      </c>
      <c r="N53" s="5">
        <f>SUMIFS(Данные!$D$2:$D$1001,Данные!$B$2:$B$1001,$A53,Данные!$C$2:$C$1001,"2024-09*")</f>
        <v>0</v>
      </c>
      <c r="O53" s="8" t="str">
        <f t="shared" si="5"/>
        <v>A</v>
      </c>
      <c r="P53" s="8" t="str">
        <f t="shared" si="6"/>
        <v>Z</v>
      </c>
      <c r="Q53" s="9">
        <f t="shared" si="7"/>
        <v>238840</v>
      </c>
    </row>
    <row r="54" spans="1:17" ht="14.25" customHeight="1" x14ac:dyDescent="0.25">
      <c r="A54" s="5" t="s">
        <v>106</v>
      </c>
      <c r="B54" s="5">
        <f>SUMIFS(Данные!$D$2:$D$1001,Данные!$B$2:$B$1001,$A54,Данные!$C$2:$C$1001,"2023-09*")</f>
        <v>0</v>
      </c>
      <c r="C54" s="5">
        <f>SUMIFS(Данные!$D$2:$D$1001,Данные!$B$2:$B$1001,$A54,Данные!$C$2:$C$1001,"2023-10*")</f>
        <v>111687</v>
      </c>
      <c r="D54" s="5">
        <f>SUMIFS(Данные!$D$2:$D$1001,Данные!$B$2:$B$1001,$A54,Данные!$C$2:$C$1001,"2023-11*")</f>
        <v>29732</v>
      </c>
      <c r="E54" s="5">
        <f>SUMIFS(Данные!$D$2:$D$1001,Данные!$B$2:$B$1001,$A54,Данные!$C$2:$C$1001,"2023-12*")</f>
        <v>0</v>
      </c>
      <c r="F54" s="5">
        <f>SUMIFS(Данные!$D$2:$D$1001,Данные!$B$2:$B$1001,$A54,Данные!$C$2:$C$1001,"2024-01*")</f>
        <v>0</v>
      </c>
      <c r="G54" s="5">
        <f>SUMIFS(Данные!$D$2:$D$1001,Данные!$B$2:$B$1001,$A54,Данные!$C$2:$C$1001,"2024-02*")</f>
        <v>0</v>
      </c>
      <c r="H54" s="5">
        <f>SUMIFS(Данные!$D$2:$D$1001,Данные!$B$2:$B$1001,$A54,Данные!$C$2:$C$1001,"2024-03*")</f>
        <v>31367</v>
      </c>
      <c r="I54" s="5">
        <f>SUMIFS(Данные!$D$2:$D$1001,Данные!$B$2:$B$1001,$A54,Данные!$C$2:$C$1001,"2024-04*")</f>
        <v>38491</v>
      </c>
      <c r="J54" s="5">
        <f>SUMIFS(Данные!$D$2:$D$1001,Данные!$B$2:$B$1001,$A54,Данные!$C$2:$C$1001,"2024-05*")</f>
        <v>0</v>
      </c>
      <c r="K54" s="5">
        <f>SUMIFS(Данные!$D$2:$D$1001,Данные!$B$2:$B$1001,$A54,Данные!$C$2:$C$1001,"2024-06*")</f>
        <v>50958</v>
      </c>
      <c r="L54" s="5">
        <f>SUMIFS(Данные!$D$2:$D$1001,Данные!$B$2:$B$1001,$A54,Данные!$C$2:$C$1001,"2024-07*")</f>
        <v>0</v>
      </c>
      <c r="M54" s="5">
        <f>SUMIFS(Данные!$D$2:$D$1001,Данные!$B$2:$B$1001,$A54,Данные!$C$2:$C$1001,"2024-08*")</f>
        <v>0</v>
      </c>
      <c r="N54" s="5">
        <f>SUMIFS(Данные!$D$2:$D$1001,Данные!$B$2:$B$1001,$A54,Данные!$C$2:$C$1001,"2024-09*")</f>
        <v>0</v>
      </c>
      <c r="O54" s="8" t="str">
        <f t="shared" si="5"/>
        <v>A</v>
      </c>
      <c r="P54" s="8" t="str">
        <f t="shared" si="6"/>
        <v>Z</v>
      </c>
      <c r="Q54" s="9">
        <f t="shared" si="7"/>
        <v>262235</v>
      </c>
    </row>
    <row r="55" spans="1:17" ht="14.25" customHeight="1" x14ac:dyDescent="0.25">
      <c r="A55" s="5" t="s">
        <v>60</v>
      </c>
      <c r="B55" s="5">
        <f>SUMIFS(Данные!$D$2:$D$1001,Данные!$B$2:$B$1001,$A55,Данные!$C$2:$C$1001,"2023-09*")</f>
        <v>95510</v>
      </c>
      <c r="C55" s="5">
        <f>SUMIFS(Данные!$D$2:$D$1001,Данные!$B$2:$B$1001,$A55,Данные!$C$2:$C$1001,"2023-10*")</f>
        <v>33763</v>
      </c>
      <c r="D55" s="5">
        <f>SUMIFS(Данные!$D$2:$D$1001,Данные!$B$2:$B$1001,$A55,Данные!$C$2:$C$1001,"2023-11*")</f>
        <v>0</v>
      </c>
      <c r="E55" s="5">
        <f>SUMIFS(Данные!$D$2:$D$1001,Данные!$B$2:$B$1001,$A55,Данные!$C$2:$C$1001,"2023-12*")</f>
        <v>0</v>
      </c>
      <c r="F55" s="5">
        <f>SUMIFS(Данные!$D$2:$D$1001,Данные!$B$2:$B$1001,$A55,Данные!$C$2:$C$1001,"2024-01*")</f>
        <v>35060</v>
      </c>
      <c r="G55" s="5">
        <f>SUMIFS(Данные!$D$2:$D$1001,Данные!$B$2:$B$1001,$A55,Данные!$C$2:$C$1001,"2024-02*")</f>
        <v>0</v>
      </c>
      <c r="H55" s="5">
        <f>SUMIFS(Данные!$D$2:$D$1001,Данные!$B$2:$B$1001,$A55,Данные!$C$2:$C$1001,"2024-03*")</f>
        <v>0</v>
      </c>
      <c r="I55" s="5">
        <f>SUMIFS(Данные!$D$2:$D$1001,Данные!$B$2:$B$1001,$A55,Данные!$C$2:$C$1001,"2024-04*")</f>
        <v>0</v>
      </c>
      <c r="J55" s="5">
        <f>SUMIFS(Данные!$D$2:$D$1001,Данные!$B$2:$B$1001,$A55,Данные!$C$2:$C$1001,"2024-05*")</f>
        <v>0</v>
      </c>
      <c r="K55" s="5">
        <f>SUMIFS(Данные!$D$2:$D$1001,Данные!$B$2:$B$1001,$A55,Данные!$C$2:$C$1001,"2024-06*")</f>
        <v>0</v>
      </c>
      <c r="L55" s="5">
        <f>SUMIFS(Данные!$D$2:$D$1001,Данные!$B$2:$B$1001,$A55,Данные!$C$2:$C$1001,"2024-07*")</f>
        <v>0</v>
      </c>
      <c r="M55" s="5">
        <f>SUMIFS(Данные!$D$2:$D$1001,Данные!$B$2:$B$1001,$A55,Данные!$C$2:$C$1001,"2024-08*")</f>
        <v>42666</v>
      </c>
      <c r="N55" s="5">
        <f>SUMIFS(Данные!$D$2:$D$1001,Данные!$B$2:$B$1001,$A55,Данные!$C$2:$C$1001,"2024-09*")</f>
        <v>0</v>
      </c>
      <c r="O55" s="8" t="str">
        <f t="shared" si="5"/>
        <v>B</v>
      </c>
      <c r="P55" s="8" t="str">
        <f t="shared" si="6"/>
        <v>Z</v>
      </c>
      <c r="Q55" s="9">
        <f t="shared" si="7"/>
        <v>206999</v>
      </c>
    </row>
    <row r="56" spans="1:17" ht="14.25" customHeight="1" x14ac:dyDescent="0.25">
      <c r="A56" s="5" t="s">
        <v>232</v>
      </c>
      <c r="B56" s="5">
        <f>SUMIFS(Данные!$D$2:$D$1001,Данные!$B$2:$B$1001,$A56,Данные!$C$2:$C$1001,"2023-09*")</f>
        <v>0</v>
      </c>
      <c r="C56" s="5">
        <f>SUMIFS(Данные!$D$2:$D$1001,Данные!$B$2:$B$1001,$A56,Данные!$C$2:$C$1001,"2023-10*")</f>
        <v>0</v>
      </c>
      <c r="D56" s="5">
        <f>SUMIFS(Данные!$D$2:$D$1001,Данные!$B$2:$B$1001,$A56,Данные!$C$2:$C$1001,"2023-11*")</f>
        <v>0</v>
      </c>
      <c r="E56" s="5">
        <f>SUMIFS(Данные!$D$2:$D$1001,Данные!$B$2:$B$1001,$A56,Данные!$C$2:$C$1001,"2023-12*")</f>
        <v>118558</v>
      </c>
      <c r="F56" s="5">
        <f>SUMIFS(Данные!$D$2:$D$1001,Данные!$B$2:$B$1001,$A56,Данные!$C$2:$C$1001,"2024-01*")</f>
        <v>115039</v>
      </c>
      <c r="G56" s="5">
        <f>SUMIFS(Данные!$D$2:$D$1001,Данные!$B$2:$B$1001,$A56,Данные!$C$2:$C$1001,"2024-02*")</f>
        <v>0</v>
      </c>
      <c r="H56" s="5">
        <f>SUMIFS(Данные!$D$2:$D$1001,Данные!$B$2:$B$1001,$A56,Данные!$C$2:$C$1001,"2024-03*")</f>
        <v>0</v>
      </c>
      <c r="I56" s="5">
        <f>SUMIFS(Данные!$D$2:$D$1001,Данные!$B$2:$B$1001,$A56,Данные!$C$2:$C$1001,"2024-04*")</f>
        <v>0</v>
      </c>
      <c r="J56" s="5">
        <f>SUMIFS(Данные!$D$2:$D$1001,Данные!$B$2:$B$1001,$A56,Данные!$C$2:$C$1001,"2024-05*")</f>
        <v>43552</v>
      </c>
      <c r="K56" s="5">
        <f>SUMIFS(Данные!$D$2:$D$1001,Данные!$B$2:$B$1001,$A56,Данные!$C$2:$C$1001,"2024-06*")</f>
        <v>0</v>
      </c>
      <c r="L56" s="5">
        <f>SUMIFS(Данные!$D$2:$D$1001,Данные!$B$2:$B$1001,$A56,Данные!$C$2:$C$1001,"2024-07*")</f>
        <v>0</v>
      </c>
      <c r="M56" s="5">
        <f>SUMIFS(Данные!$D$2:$D$1001,Данные!$B$2:$B$1001,$A56,Данные!$C$2:$C$1001,"2024-08*")</f>
        <v>0</v>
      </c>
      <c r="N56" s="5">
        <f>SUMIFS(Данные!$D$2:$D$1001,Данные!$B$2:$B$1001,$A56,Данные!$C$2:$C$1001,"2024-09*")</f>
        <v>0</v>
      </c>
      <c r="O56" s="8" t="str">
        <f t="shared" si="5"/>
        <v>A</v>
      </c>
      <c r="P56" s="8" t="str">
        <f t="shared" si="6"/>
        <v>Z</v>
      </c>
      <c r="Q56" s="9">
        <f t="shared" si="7"/>
        <v>277149</v>
      </c>
    </row>
    <row r="57" spans="1:17" ht="14.25" customHeight="1" x14ac:dyDescent="0.25">
      <c r="A57" s="5" t="s">
        <v>58</v>
      </c>
      <c r="B57" s="5">
        <f>SUMIFS(Данные!$D$2:$D$1001,Данные!$B$2:$B$1001,$A57,Данные!$C$2:$C$1001,"2023-09*")</f>
        <v>83132</v>
      </c>
      <c r="C57" s="5">
        <f>SUMIFS(Данные!$D$2:$D$1001,Данные!$B$2:$B$1001,$A57,Данные!$C$2:$C$1001,"2023-10*")</f>
        <v>0</v>
      </c>
      <c r="D57" s="5">
        <f>SUMIFS(Данные!$D$2:$D$1001,Данные!$B$2:$B$1001,$A57,Данные!$C$2:$C$1001,"2023-11*")</f>
        <v>91147</v>
      </c>
      <c r="E57" s="5">
        <f>SUMIFS(Данные!$D$2:$D$1001,Данные!$B$2:$B$1001,$A57,Данные!$C$2:$C$1001,"2023-12*")</f>
        <v>0</v>
      </c>
      <c r="F57" s="5">
        <f>SUMIFS(Данные!$D$2:$D$1001,Данные!$B$2:$B$1001,$A57,Данные!$C$2:$C$1001,"2024-01*")</f>
        <v>0</v>
      </c>
      <c r="G57" s="5">
        <f>SUMIFS(Данные!$D$2:$D$1001,Данные!$B$2:$B$1001,$A57,Данные!$C$2:$C$1001,"2024-02*")</f>
        <v>0</v>
      </c>
      <c r="H57" s="5">
        <f>SUMIFS(Данные!$D$2:$D$1001,Данные!$B$2:$B$1001,$A57,Данные!$C$2:$C$1001,"2024-03*")</f>
        <v>0</v>
      </c>
      <c r="I57" s="5">
        <f>SUMIFS(Данные!$D$2:$D$1001,Данные!$B$2:$B$1001,$A57,Данные!$C$2:$C$1001,"2024-04*")</f>
        <v>20608</v>
      </c>
      <c r="J57" s="5">
        <f>SUMIFS(Данные!$D$2:$D$1001,Данные!$B$2:$B$1001,$A57,Данные!$C$2:$C$1001,"2024-05*")</f>
        <v>99531</v>
      </c>
      <c r="K57" s="5">
        <f>SUMIFS(Данные!$D$2:$D$1001,Данные!$B$2:$B$1001,$A57,Данные!$C$2:$C$1001,"2024-06*")</f>
        <v>0</v>
      </c>
      <c r="L57" s="5">
        <f>SUMIFS(Данные!$D$2:$D$1001,Данные!$B$2:$B$1001,$A57,Данные!$C$2:$C$1001,"2024-07*")</f>
        <v>82832</v>
      </c>
      <c r="M57" s="5">
        <f>SUMIFS(Данные!$D$2:$D$1001,Данные!$B$2:$B$1001,$A57,Данные!$C$2:$C$1001,"2024-08*")</f>
        <v>0</v>
      </c>
      <c r="N57" s="5">
        <f>SUMIFS(Данные!$D$2:$D$1001,Данные!$B$2:$B$1001,$A57,Данные!$C$2:$C$1001,"2024-09*")</f>
        <v>0</v>
      </c>
      <c r="O57" s="8" t="str">
        <f t="shared" si="5"/>
        <v>A</v>
      </c>
      <c r="P57" s="8" t="str">
        <f t="shared" si="6"/>
        <v>Z</v>
      </c>
      <c r="Q57" s="9">
        <f t="shared" si="7"/>
        <v>377250</v>
      </c>
    </row>
    <row r="58" spans="1:17" ht="14.25" customHeight="1" x14ac:dyDescent="0.25">
      <c r="A58" s="5" t="s">
        <v>116</v>
      </c>
      <c r="B58" s="5">
        <f>SUMIFS(Данные!$D$2:$D$1001,Данные!$B$2:$B$1001,$A58,Данные!$C$2:$C$1001,"2023-09*")</f>
        <v>0</v>
      </c>
      <c r="C58" s="5">
        <f>SUMIFS(Данные!$D$2:$D$1001,Данные!$B$2:$B$1001,$A58,Данные!$C$2:$C$1001,"2023-10*")</f>
        <v>187166</v>
      </c>
      <c r="D58" s="5">
        <f>SUMIFS(Данные!$D$2:$D$1001,Данные!$B$2:$B$1001,$A58,Данные!$C$2:$C$1001,"2023-11*")</f>
        <v>0</v>
      </c>
      <c r="E58" s="5">
        <f>SUMIFS(Данные!$D$2:$D$1001,Данные!$B$2:$B$1001,$A58,Данные!$C$2:$C$1001,"2023-12*")</f>
        <v>0</v>
      </c>
      <c r="F58" s="5">
        <f>SUMIFS(Данные!$D$2:$D$1001,Данные!$B$2:$B$1001,$A58,Данные!$C$2:$C$1001,"2024-01*")</f>
        <v>91000</v>
      </c>
      <c r="G58" s="5">
        <f>SUMIFS(Данные!$D$2:$D$1001,Данные!$B$2:$B$1001,$A58,Данные!$C$2:$C$1001,"2024-02*")</f>
        <v>124955</v>
      </c>
      <c r="H58" s="5">
        <f>SUMIFS(Данные!$D$2:$D$1001,Данные!$B$2:$B$1001,$A58,Данные!$C$2:$C$1001,"2024-03*")</f>
        <v>0</v>
      </c>
      <c r="I58" s="5">
        <f>SUMIFS(Данные!$D$2:$D$1001,Данные!$B$2:$B$1001,$A58,Данные!$C$2:$C$1001,"2024-04*")</f>
        <v>45664</v>
      </c>
      <c r="J58" s="5">
        <f>SUMIFS(Данные!$D$2:$D$1001,Данные!$B$2:$B$1001,$A58,Данные!$C$2:$C$1001,"2024-05*")</f>
        <v>0</v>
      </c>
      <c r="K58" s="5">
        <f>SUMIFS(Данные!$D$2:$D$1001,Данные!$B$2:$B$1001,$A58,Данные!$C$2:$C$1001,"2024-06*")</f>
        <v>0</v>
      </c>
      <c r="L58" s="5">
        <f>SUMIFS(Данные!$D$2:$D$1001,Данные!$B$2:$B$1001,$A58,Данные!$C$2:$C$1001,"2024-07*")</f>
        <v>86471</v>
      </c>
      <c r="M58" s="5">
        <f>SUMIFS(Данные!$D$2:$D$1001,Данные!$B$2:$B$1001,$A58,Данные!$C$2:$C$1001,"2024-08*")</f>
        <v>14449</v>
      </c>
      <c r="N58" s="5">
        <f>SUMIFS(Данные!$D$2:$D$1001,Данные!$B$2:$B$1001,$A58,Данные!$C$2:$C$1001,"2024-09*")</f>
        <v>0</v>
      </c>
      <c r="O58" s="8" t="str">
        <f t="shared" si="5"/>
        <v>A</v>
      </c>
      <c r="P58" s="8" t="str">
        <f t="shared" si="6"/>
        <v>Z</v>
      </c>
      <c r="Q58" s="9">
        <f t="shared" si="7"/>
        <v>549705</v>
      </c>
    </row>
    <row r="59" spans="1:17" ht="14.25" customHeight="1" x14ac:dyDescent="0.25">
      <c r="A59" s="5" t="s">
        <v>91</v>
      </c>
      <c r="B59" s="5">
        <f>SUMIFS(Данные!$D$2:$D$1001,Данные!$B$2:$B$1001,$A59,Данные!$C$2:$C$1001,"2023-09*")</f>
        <v>97973</v>
      </c>
      <c r="C59" s="5">
        <f>SUMIFS(Данные!$D$2:$D$1001,Данные!$B$2:$B$1001,$A59,Данные!$C$2:$C$1001,"2023-10*")</f>
        <v>0</v>
      </c>
      <c r="D59" s="5">
        <f>SUMIFS(Данные!$D$2:$D$1001,Данные!$B$2:$B$1001,$A59,Данные!$C$2:$C$1001,"2023-11*")</f>
        <v>31520</v>
      </c>
      <c r="E59" s="5">
        <f>SUMIFS(Данные!$D$2:$D$1001,Данные!$B$2:$B$1001,$A59,Данные!$C$2:$C$1001,"2023-12*")</f>
        <v>93994</v>
      </c>
      <c r="F59" s="5">
        <f>SUMIFS(Данные!$D$2:$D$1001,Данные!$B$2:$B$1001,$A59,Данные!$C$2:$C$1001,"2024-01*")</f>
        <v>0</v>
      </c>
      <c r="G59" s="5">
        <f>SUMIFS(Данные!$D$2:$D$1001,Данные!$B$2:$B$1001,$A59,Данные!$C$2:$C$1001,"2024-02*")</f>
        <v>0</v>
      </c>
      <c r="H59" s="5">
        <f>SUMIFS(Данные!$D$2:$D$1001,Данные!$B$2:$B$1001,$A59,Данные!$C$2:$C$1001,"2024-03*")</f>
        <v>0</v>
      </c>
      <c r="I59" s="5">
        <f>SUMIFS(Данные!$D$2:$D$1001,Данные!$B$2:$B$1001,$A59,Данные!$C$2:$C$1001,"2024-04*")</f>
        <v>0</v>
      </c>
      <c r="J59" s="5">
        <f>SUMIFS(Данные!$D$2:$D$1001,Данные!$B$2:$B$1001,$A59,Данные!$C$2:$C$1001,"2024-05*")</f>
        <v>62118</v>
      </c>
      <c r="K59" s="5">
        <f>SUMIFS(Данные!$D$2:$D$1001,Данные!$B$2:$B$1001,$A59,Данные!$C$2:$C$1001,"2024-06*")</f>
        <v>0</v>
      </c>
      <c r="L59" s="5">
        <f>SUMIFS(Данные!$D$2:$D$1001,Данные!$B$2:$B$1001,$A59,Данные!$C$2:$C$1001,"2024-07*")</f>
        <v>0</v>
      </c>
      <c r="M59" s="5">
        <f>SUMIFS(Данные!$D$2:$D$1001,Данные!$B$2:$B$1001,$A59,Данные!$C$2:$C$1001,"2024-08*")</f>
        <v>0</v>
      </c>
      <c r="N59" s="5">
        <f>SUMIFS(Данные!$D$2:$D$1001,Данные!$B$2:$B$1001,$A59,Данные!$C$2:$C$1001,"2024-09*")</f>
        <v>0</v>
      </c>
      <c r="O59" s="8" t="str">
        <f t="shared" si="5"/>
        <v>A</v>
      </c>
      <c r="P59" s="8" t="str">
        <f t="shared" si="6"/>
        <v>Z</v>
      </c>
      <c r="Q59" s="9">
        <f t="shared" si="7"/>
        <v>285605</v>
      </c>
    </row>
    <row r="60" spans="1:17" ht="14.25" customHeight="1" x14ac:dyDescent="0.25">
      <c r="A60" s="5" t="s">
        <v>110</v>
      </c>
      <c r="B60" s="5">
        <f>SUMIFS(Данные!$D$2:$D$1001,Данные!$B$2:$B$1001,$A60,Данные!$C$2:$C$1001,"2023-09*")</f>
        <v>0</v>
      </c>
      <c r="C60" s="5">
        <f>SUMIFS(Данные!$D$2:$D$1001,Данные!$B$2:$B$1001,$A60,Данные!$C$2:$C$1001,"2023-10*")</f>
        <v>99655</v>
      </c>
      <c r="D60" s="5">
        <f>SUMIFS(Данные!$D$2:$D$1001,Данные!$B$2:$B$1001,$A60,Данные!$C$2:$C$1001,"2023-11*")</f>
        <v>0</v>
      </c>
      <c r="E60" s="5">
        <f>SUMIFS(Данные!$D$2:$D$1001,Данные!$B$2:$B$1001,$A60,Данные!$C$2:$C$1001,"2023-12*")</f>
        <v>40363</v>
      </c>
      <c r="F60" s="5">
        <f>SUMIFS(Данные!$D$2:$D$1001,Данные!$B$2:$B$1001,$A60,Данные!$C$2:$C$1001,"2024-01*")</f>
        <v>0</v>
      </c>
      <c r="G60" s="5">
        <f>SUMIFS(Данные!$D$2:$D$1001,Данные!$B$2:$B$1001,$A60,Данные!$C$2:$C$1001,"2024-02*")</f>
        <v>81458</v>
      </c>
      <c r="H60" s="5">
        <f>SUMIFS(Данные!$D$2:$D$1001,Данные!$B$2:$B$1001,$A60,Данные!$C$2:$C$1001,"2024-03*")</f>
        <v>0</v>
      </c>
      <c r="I60" s="5">
        <f>SUMIFS(Данные!$D$2:$D$1001,Данные!$B$2:$B$1001,$A60,Данные!$C$2:$C$1001,"2024-04*")</f>
        <v>0</v>
      </c>
      <c r="J60" s="5">
        <f>SUMIFS(Данные!$D$2:$D$1001,Данные!$B$2:$B$1001,$A60,Данные!$C$2:$C$1001,"2024-05*")</f>
        <v>114669</v>
      </c>
      <c r="K60" s="5">
        <f>SUMIFS(Данные!$D$2:$D$1001,Данные!$B$2:$B$1001,$A60,Данные!$C$2:$C$1001,"2024-06*")</f>
        <v>0</v>
      </c>
      <c r="L60" s="5">
        <f>SUMIFS(Данные!$D$2:$D$1001,Данные!$B$2:$B$1001,$A60,Данные!$C$2:$C$1001,"2024-07*")</f>
        <v>0</v>
      </c>
      <c r="M60" s="5">
        <f>SUMIFS(Данные!$D$2:$D$1001,Данные!$B$2:$B$1001,$A60,Данные!$C$2:$C$1001,"2024-08*")</f>
        <v>0</v>
      </c>
      <c r="N60" s="5">
        <f>SUMIFS(Данные!$D$2:$D$1001,Данные!$B$2:$B$1001,$A60,Данные!$C$2:$C$1001,"2024-09*")</f>
        <v>0</v>
      </c>
      <c r="O60" s="8" t="str">
        <f t="shared" si="5"/>
        <v>A</v>
      </c>
      <c r="P60" s="8" t="str">
        <f t="shared" si="6"/>
        <v>Z</v>
      </c>
      <c r="Q60" s="9">
        <f t="shared" si="7"/>
        <v>336145</v>
      </c>
    </row>
    <row r="61" spans="1:17" ht="14.25" customHeight="1" x14ac:dyDescent="0.25">
      <c r="A61" s="5" t="s">
        <v>181</v>
      </c>
      <c r="B61" s="5">
        <f>SUMIFS(Данные!$D$2:$D$1001,Данные!$B$2:$B$1001,$A61,Данные!$C$2:$C$1001,"2023-09*")</f>
        <v>0</v>
      </c>
      <c r="C61" s="5">
        <f>SUMIFS(Данные!$D$2:$D$1001,Данные!$B$2:$B$1001,$A61,Данные!$C$2:$C$1001,"2023-10*")</f>
        <v>0</v>
      </c>
      <c r="D61" s="5">
        <f>SUMIFS(Данные!$D$2:$D$1001,Данные!$B$2:$B$1001,$A61,Данные!$C$2:$C$1001,"2023-11*")</f>
        <v>51301</v>
      </c>
      <c r="E61" s="5">
        <f>SUMIFS(Данные!$D$2:$D$1001,Данные!$B$2:$B$1001,$A61,Данные!$C$2:$C$1001,"2023-12*")</f>
        <v>0</v>
      </c>
      <c r="F61" s="5">
        <f>SUMIFS(Данные!$D$2:$D$1001,Данные!$B$2:$B$1001,$A61,Данные!$C$2:$C$1001,"2024-01*")</f>
        <v>0</v>
      </c>
      <c r="G61" s="5">
        <f>SUMIFS(Данные!$D$2:$D$1001,Данные!$B$2:$B$1001,$A61,Данные!$C$2:$C$1001,"2024-02*")</f>
        <v>0</v>
      </c>
      <c r="H61" s="5">
        <f>SUMIFS(Данные!$D$2:$D$1001,Данные!$B$2:$B$1001,$A61,Данные!$C$2:$C$1001,"2024-03*")</f>
        <v>0</v>
      </c>
      <c r="I61" s="5">
        <f>SUMIFS(Данные!$D$2:$D$1001,Данные!$B$2:$B$1001,$A61,Данные!$C$2:$C$1001,"2024-04*")</f>
        <v>55995</v>
      </c>
      <c r="J61" s="5">
        <f>SUMIFS(Данные!$D$2:$D$1001,Данные!$B$2:$B$1001,$A61,Данные!$C$2:$C$1001,"2024-05*")</f>
        <v>86380</v>
      </c>
      <c r="K61" s="5">
        <f>SUMIFS(Данные!$D$2:$D$1001,Данные!$B$2:$B$1001,$A61,Данные!$C$2:$C$1001,"2024-06*")</f>
        <v>0</v>
      </c>
      <c r="L61" s="5">
        <f>SUMIFS(Данные!$D$2:$D$1001,Данные!$B$2:$B$1001,$A61,Данные!$C$2:$C$1001,"2024-07*")</f>
        <v>0</v>
      </c>
      <c r="M61" s="5">
        <f>SUMIFS(Данные!$D$2:$D$1001,Данные!$B$2:$B$1001,$A61,Данные!$C$2:$C$1001,"2024-08*")</f>
        <v>23026</v>
      </c>
      <c r="N61" s="5">
        <f>SUMIFS(Данные!$D$2:$D$1001,Данные!$B$2:$B$1001,$A61,Данные!$C$2:$C$1001,"2024-09*")</f>
        <v>0</v>
      </c>
      <c r="O61" s="8" t="str">
        <f t="shared" si="5"/>
        <v>B</v>
      </c>
      <c r="P61" s="8" t="str">
        <f t="shared" si="6"/>
        <v>Z</v>
      </c>
      <c r="Q61" s="9">
        <f t="shared" si="7"/>
        <v>216702</v>
      </c>
    </row>
    <row r="62" spans="1:17" ht="14.25" customHeight="1" x14ac:dyDescent="0.25">
      <c r="A62" s="5" t="s">
        <v>140</v>
      </c>
      <c r="B62" s="5">
        <f>SUMIFS(Данные!$D$2:$D$1001,Данные!$B$2:$B$1001,$A62,Данные!$C$2:$C$1001,"2023-09*")</f>
        <v>0</v>
      </c>
      <c r="C62" s="5">
        <f>SUMIFS(Данные!$D$2:$D$1001,Данные!$B$2:$B$1001,$A62,Данные!$C$2:$C$1001,"2023-10*")</f>
        <v>88207</v>
      </c>
      <c r="D62" s="5">
        <f>SUMIFS(Данные!$D$2:$D$1001,Данные!$B$2:$B$1001,$A62,Данные!$C$2:$C$1001,"2023-11*")</f>
        <v>87372</v>
      </c>
      <c r="E62" s="5">
        <f>SUMIFS(Данные!$D$2:$D$1001,Данные!$B$2:$B$1001,$A62,Данные!$C$2:$C$1001,"2023-12*")</f>
        <v>45731</v>
      </c>
      <c r="F62" s="5">
        <f>SUMIFS(Данные!$D$2:$D$1001,Данные!$B$2:$B$1001,$A62,Данные!$C$2:$C$1001,"2024-01*")</f>
        <v>0</v>
      </c>
      <c r="G62" s="5">
        <f>SUMIFS(Данные!$D$2:$D$1001,Данные!$B$2:$B$1001,$A62,Данные!$C$2:$C$1001,"2024-02*")</f>
        <v>82727</v>
      </c>
      <c r="H62" s="5">
        <f>SUMIFS(Данные!$D$2:$D$1001,Данные!$B$2:$B$1001,$A62,Данные!$C$2:$C$1001,"2024-03*")</f>
        <v>105718</v>
      </c>
      <c r="I62" s="5">
        <f>SUMIFS(Данные!$D$2:$D$1001,Данные!$B$2:$B$1001,$A62,Данные!$C$2:$C$1001,"2024-04*")</f>
        <v>0</v>
      </c>
      <c r="J62" s="5">
        <f>SUMIFS(Данные!$D$2:$D$1001,Данные!$B$2:$B$1001,$A62,Данные!$C$2:$C$1001,"2024-05*")</f>
        <v>45268</v>
      </c>
      <c r="K62" s="5">
        <f>SUMIFS(Данные!$D$2:$D$1001,Данные!$B$2:$B$1001,$A62,Данные!$C$2:$C$1001,"2024-06*")</f>
        <v>0</v>
      </c>
      <c r="L62" s="5">
        <f>SUMIFS(Данные!$D$2:$D$1001,Данные!$B$2:$B$1001,$A62,Данные!$C$2:$C$1001,"2024-07*")</f>
        <v>82070</v>
      </c>
      <c r="M62" s="5">
        <f>SUMIFS(Данные!$D$2:$D$1001,Данные!$B$2:$B$1001,$A62,Данные!$C$2:$C$1001,"2024-08*")</f>
        <v>110182</v>
      </c>
      <c r="N62" s="5">
        <f>SUMIFS(Данные!$D$2:$D$1001,Данные!$B$2:$B$1001,$A62,Данные!$C$2:$C$1001,"2024-09*")</f>
        <v>0</v>
      </c>
      <c r="O62" s="8" t="str">
        <f t="shared" si="5"/>
        <v>A</v>
      </c>
      <c r="P62" s="8" t="str">
        <f t="shared" si="6"/>
        <v>Z</v>
      </c>
      <c r="Q62" s="9">
        <f t="shared" si="7"/>
        <v>647275</v>
      </c>
    </row>
    <row r="63" spans="1:17" ht="14.25" customHeight="1" x14ac:dyDescent="0.25">
      <c r="A63" s="5" t="s">
        <v>146</v>
      </c>
      <c r="B63" s="5">
        <f>SUMIFS(Данные!$D$2:$D$1001,Данные!$B$2:$B$1001,$A63,Данные!$C$2:$C$1001,"2023-09*")</f>
        <v>0</v>
      </c>
      <c r="C63" s="5">
        <f>SUMIFS(Данные!$D$2:$D$1001,Данные!$B$2:$B$1001,$A63,Данные!$C$2:$C$1001,"2023-10*")</f>
        <v>47411</v>
      </c>
      <c r="D63" s="5">
        <f>SUMIFS(Данные!$D$2:$D$1001,Данные!$B$2:$B$1001,$A63,Данные!$C$2:$C$1001,"2023-11*")</f>
        <v>0</v>
      </c>
      <c r="E63" s="5">
        <f>SUMIFS(Данные!$D$2:$D$1001,Данные!$B$2:$B$1001,$A63,Данные!$C$2:$C$1001,"2023-12*")</f>
        <v>25304</v>
      </c>
      <c r="F63" s="5">
        <f>SUMIFS(Данные!$D$2:$D$1001,Данные!$B$2:$B$1001,$A63,Данные!$C$2:$C$1001,"2024-01*")</f>
        <v>0</v>
      </c>
      <c r="G63" s="5">
        <f>SUMIFS(Данные!$D$2:$D$1001,Данные!$B$2:$B$1001,$A63,Данные!$C$2:$C$1001,"2024-02*")</f>
        <v>0</v>
      </c>
      <c r="H63" s="5">
        <f>SUMIFS(Данные!$D$2:$D$1001,Данные!$B$2:$B$1001,$A63,Данные!$C$2:$C$1001,"2024-03*")</f>
        <v>0</v>
      </c>
      <c r="I63" s="5">
        <f>SUMIFS(Данные!$D$2:$D$1001,Данные!$B$2:$B$1001,$A63,Данные!$C$2:$C$1001,"2024-04*")</f>
        <v>52688</v>
      </c>
      <c r="J63" s="5">
        <f>SUMIFS(Данные!$D$2:$D$1001,Данные!$B$2:$B$1001,$A63,Данные!$C$2:$C$1001,"2024-05*")</f>
        <v>89152</v>
      </c>
      <c r="K63" s="5">
        <f>SUMIFS(Данные!$D$2:$D$1001,Данные!$B$2:$B$1001,$A63,Данные!$C$2:$C$1001,"2024-06*")</f>
        <v>0</v>
      </c>
      <c r="L63" s="5">
        <f>SUMIFS(Данные!$D$2:$D$1001,Данные!$B$2:$B$1001,$A63,Данные!$C$2:$C$1001,"2024-07*")</f>
        <v>0</v>
      </c>
      <c r="M63" s="5">
        <f>SUMIFS(Данные!$D$2:$D$1001,Данные!$B$2:$B$1001,$A63,Данные!$C$2:$C$1001,"2024-08*")</f>
        <v>118651</v>
      </c>
      <c r="N63" s="5">
        <f>SUMIFS(Данные!$D$2:$D$1001,Данные!$B$2:$B$1001,$A63,Данные!$C$2:$C$1001,"2024-09*")</f>
        <v>0</v>
      </c>
      <c r="O63" s="8" t="str">
        <f t="shared" si="5"/>
        <v>A</v>
      </c>
      <c r="P63" s="8" t="str">
        <f t="shared" si="6"/>
        <v>Z</v>
      </c>
      <c r="Q63" s="9">
        <f t="shared" si="7"/>
        <v>333206</v>
      </c>
    </row>
    <row r="64" spans="1:17" ht="14.25" customHeight="1" x14ac:dyDescent="0.25">
      <c r="A64" s="5" t="s">
        <v>113</v>
      </c>
      <c r="B64" s="5">
        <f>SUMIFS(Данные!$D$2:$D$1001,Данные!$B$2:$B$1001,$A64,Данные!$C$2:$C$1001,"2023-09*")</f>
        <v>0</v>
      </c>
      <c r="C64" s="5">
        <f>SUMIFS(Данные!$D$2:$D$1001,Данные!$B$2:$B$1001,$A64,Данные!$C$2:$C$1001,"2023-10*")</f>
        <v>66799</v>
      </c>
      <c r="D64" s="5">
        <f>SUMIFS(Данные!$D$2:$D$1001,Данные!$B$2:$B$1001,$A64,Данные!$C$2:$C$1001,"2023-11*")</f>
        <v>0</v>
      </c>
      <c r="E64" s="5">
        <f>SUMIFS(Данные!$D$2:$D$1001,Данные!$B$2:$B$1001,$A64,Данные!$C$2:$C$1001,"2023-12*")</f>
        <v>49404</v>
      </c>
      <c r="F64" s="5">
        <f>SUMIFS(Данные!$D$2:$D$1001,Данные!$B$2:$B$1001,$A64,Данные!$C$2:$C$1001,"2024-01*")</f>
        <v>0</v>
      </c>
      <c r="G64" s="5">
        <f>SUMIFS(Данные!$D$2:$D$1001,Данные!$B$2:$B$1001,$A64,Данные!$C$2:$C$1001,"2024-02*")</f>
        <v>50130</v>
      </c>
      <c r="H64" s="5">
        <f>SUMIFS(Данные!$D$2:$D$1001,Данные!$B$2:$B$1001,$A64,Данные!$C$2:$C$1001,"2024-03*")</f>
        <v>0</v>
      </c>
      <c r="I64" s="5">
        <f>SUMIFS(Данные!$D$2:$D$1001,Данные!$B$2:$B$1001,$A64,Данные!$C$2:$C$1001,"2024-04*")</f>
        <v>0</v>
      </c>
      <c r="J64" s="5">
        <f>SUMIFS(Данные!$D$2:$D$1001,Данные!$B$2:$B$1001,$A64,Данные!$C$2:$C$1001,"2024-05*")</f>
        <v>79721</v>
      </c>
      <c r="K64" s="5">
        <f>SUMIFS(Данные!$D$2:$D$1001,Данные!$B$2:$B$1001,$A64,Данные!$C$2:$C$1001,"2024-06*")</f>
        <v>0</v>
      </c>
      <c r="L64" s="5">
        <f>SUMIFS(Данные!$D$2:$D$1001,Данные!$B$2:$B$1001,$A64,Данные!$C$2:$C$1001,"2024-07*")</f>
        <v>66783</v>
      </c>
      <c r="M64" s="5">
        <f>SUMIFS(Данные!$D$2:$D$1001,Данные!$B$2:$B$1001,$A64,Данные!$C$2:$C$1001,"2024-08*")</f>
        <v>41722</v>
      </c>
      <c r="N64" s="5">
        <f>SUMIFS(Данные!$D$2:$D$1001,Данные!$B$2:$B$1001,$A64,Данные!$C$2:$C$1001,"2024-09*")</f>
        <v>0</v>
      </c>
      <c r="O64" s="8" t="str">
        <f t="shared" si="5"/>
        <v>A</v>
      </c>
      <c r="P64" s="8" t="str">
        <f t="shared" si="6"/>
        <v>Z</v>
      </c>
      <c r="Q64" s="9">
        <f t="shared" si="7"/>
        <v>354559</v>
      </c>
    </row>
    <row r="65" spans="1:17" ht="14.25" customHeight="1" x14ac:dyDescent="0.25">
      <c r="A65" s="5" t="s">
        <v>137</v>
      </c>
      <c r="B65" s="5">
        <f>SUMIFS(Данные!$D$2:$D$1001,Данные!$B$2:$B$1001,$A65,Данные!$C$2:$C$1001,"2023-09*")</f>
        <v>0</v>
      </c>
      <c r="C65" s="5">
        <f>SUMIFS(Данные!$D$2:$D$1001,Данные!$B$2:$B$1001,$A65,Данные!$C$2:$C$1001,"2023-10*")</f>
        <v>75372</v>
      </c>
      <c r="D65" s="5">
        <f>SUMIFS(Данные!$D$2:$D$1001,Данные!$B$2:$B$1001,$A65,Данные!$C$2:$C$1001,"2023-11*")</f>
        <v>0</v>
      </c>
      <c r="E65" s="5">
        <f>SUMIFS(Данные!$D$2:$D$1001,Данные!$B$2:$B$1001,$A65,Данные!$C$2:$C$1001,"2023-12*")</f>
        <v>55043</v>
      </c>
      <c r="F65" s="5">
        <f>SUMIFS(Данные!$D$2:$D$1001,Данные!$B$2:$B$1001,$A65,Данные!$C$2:$C$1001,"2024-01*")</f>
        <v>21360</v>
      </c>
      <c r="G65" s="5">
        <f>SUMIFS(Данные!$D$2:$D$1001,Данные!$B$2:$B$1001,$A65,Данные!$C$2:$C$1001,"2024-02*")</f>
        <v>22598</v>
      </c>
      <c r="H65" s="5">
        <f>SUMIFS(Данные!$D$2:$D$1001,Данные!$B$2:$B$1001,$A65,Данные!$C$2:$C$1001,"2024-03*")</f>
        <v>0</v>
      </c>
      <c r="I65" s="5">
        <f>SUMIFS(Данные!$D$2:$D$1001,Данные!$B$2:$B$1001,$A65,Данные!$C$2:$C$1001,"2024-04*")</f>
        <v>0</v>
      </c>
      <c r="J65" s="5">
        <f>SUMIFS(Данные!$D$2:$D$1001,Данные!$B$2:$B$1001,$A65,Данные!$C$2:$C$1001,"2024-05*")</f>
        <v>138631</v>
      </c>
      <c r="K65" s="5">
        <f>SUMIFS(Данные!$D$2:$D$1001,Данные!$B$2:$B$1001,$A65,Данные!$C$2:$C$1001,"2024-06*")</f>
        <v>0</v>
      </c>
      <c r="L65" s="5">
        <f>SUMIFS(Данные!$D$2:$D$1001,Данные!$B$2:$B$1001,$A65,Данные!$C$2:$C$1001,"2024-07*")</f>
        <v>0</v>
      </c>
      <c r="M65" s="5">
        <f>SUMIFS(Данные!$D$2:$D$1001,Данные!$B$2:$B$1001,$A65,Данные!$C$2:$C$1001,"2024-08*")</f>
        <v>0</v>
      </c>
      <c r="N65" s="5">
        <f>SUMIFS(Данные!$D$2:$D$1001,Данные!$B$2:$B$1001,$A65,Данные!$C$2:$C$1001,"2024-09*")</f>
        <v>0</v>
      </c>
      <c r="O65" s="8" t="str">
        <f t="shared" si="5"/>
        <v>A</v>
      </c>
      <c r="P65" s="8" t="str">
        <f t="shared" si="6"/>
        <v>Z</v>
      </c>
      <c r="Q65" s="9">
        <f t="shared" si="7"/>
        <v>313004</v>
      </c>
    </row>
    <row r="66" spans="1:17" ht="14.25" customHeight="1" x14ac:dyDescent="0.25">
      <c r="A66" s="5" t="s">
        <v>311</v>
      </c>
      <c r="B66" s="5">
        <f>SUMIFS(Данные!$D$2:$D$1001,Данные!$B$2:$B$1001,$A66,Данные!$C$2:$C$1001,"2023-09*")</f>
        <v>0</v>
      </c>
      <c r="C66" s="5">
        <f>SUMIFS(Данные!$D$2:$D$1001,Данные!$B$2:$B$1001,$A66,Данные!$C$2:$C$1001,"2023-10*")</f>
        <v>0</v>
      </c>
      <c r="D66" s="5">
        <f>SUMIFS(Данные!$D$2:$D$1001,Данные!$B$2:$B$1001,$A66,Данные!$C$2:$C$1001,"2023-11*")</f>
        <v>0</v>
      </c>
      <c r="E66" s="5">
        <f>SUMIFS(Данные!$D$2:$D$1001,Данные!$B$2:$B$1001,$A66,Данные!$C$2:$C$1001,"2023-12*")</f>
        <v>0</v>
      </c>
      <c r="F66" s="5">
        <f>SUMIFS(Данные!$D$2:$D$1001,Данные!$B$2:$B$1001,$A66,Данные!$C$2:$C$1001,"2024-01*")</f>
        <v>0</v>
      </c>
      <c r="G66" s="5">
        <f>SUMIFS(Данные!$D$2:$D$1001,Данные!$B$2:$B$1001,$A66,Данные!$C$2:$C$1001,"2024-02*")</f>
        <v>73581</v>
      </c>
      <c r="H66" s="5">
        <f>SUMIFS(Данные!$D$2:$D$1001,Данные!$B$2:$B$1001,$A66,Данные!$C$2:$C$1001,"2024-03*")</f>
        <v>0</v>
      </c>
      <c r="I66" s="5">
        <f>SUMIFS(Данные!$D$2:$D$1001,Данные!$B$2:$B$1001,$A66,Данные!$C$2:$C$1001,"2024-04*")</f>
        <v>83865</v>
      </c>
      <c r="J66" s="5">
        <f>SUMIFS(Данные!$D$2:$D$1001,Данные!$B$2:$B$1001,$A66,Данные!$C$2:$C$1001,"2024-05*")</f>
        <v>0</v>
      </c>
      <c r="K66" s="5">
        <f>SUMIFS(Данные!$D$2:$D$1001,Данные!$B$2:$B$1001,$A66,Данные!$C$2:$C$1001,"2024-06*")</f>
        <v>0</v>
      </c>
      <c r="L66" s="5">
        <f>SUMIFS(Данные!$D$2:$D$1001,Данные!$B$2:$B$1001,$A66,Данные!$C$2:$C$1001,"2024-07*")</f>
        <v>0</v>
      </c>
      <c r="M66" s="5">
        <f>SUMIFS(Данные!$D$2:$D$1001,Данные!$B$2:$B$1001,$A66,Данные!$C$2:$C$1001,"2024-08*")</f>
        <v>0</v>
      </c>
      <c r="N66" s="5">
        <f>SUMIFS(Данные!$D$2:$D$1001,Данные!$B$2:$B$1001,$A66,Данные!$C$2:$C$1001,"2024-09*")</f>
        <v>0</v>
      </c>
      <c r="O66" s="8" t="str">
        <f t="shared" ref="O66:O97" si="8">IF(SUMPRODUCT(($Q$2:$Q$198&gt;=Q66)*$Q$2:$Q$198)/SUM($Q$2:$Q$198)&lt;=80%,"A",IF(SUMPRODUCT(($Q$2:$Q$198&gt;=Q66)*$Q$2:$Q$198)/SUM($Q$2:$Q$198)&lt;=95%,"B","C"))</f>
        <v>B</v>
      </c>
      <c r="P66" s="8" t="str">
        <f t="shared" ref="P66:P97" si="9">IFERROR(IF(SQRT(SUMPRODUCT((B66:N66-AVERAGE(B66:N66))^2)/(COUNT(B66:N66)-1))/AVERAGE(B66:N66)&lt;=10%,"X",IF(SQRT(SUMPRODUCT((B66:N66-AVERAGE(B66:N66))^2)/(COUNT(B66:N66)-1))/AVERAGE(B66:N66)&lt;=25%,"Y","Z")),"Z")</f>
        <v>Z</v>
      </c>
      <c r="Q66" s="9">
        <f t="shared" ref="Q66:Q97" si="10">SUM(B66:N66)</f>
        <v>157446</v>
      </c>
    </row>
    <row r="67" spans="1:17" ht="14.25" customHeight="1" x14ac:dyDescent="0.25">
      <c r="A67" s="5" t="s">
        <v>261</v>
      </c>
      <c r="B67" s="5">
        <f>SUMIFS(Данные!$D$2:$D$1001,Данные!$B$2:$B$1001,$A67,Данные!$C$2:$C$1001,"2023-09*")</f>
        <v>0</v>
      </c>
      <c r="C67" s="5">
        <f>SUMIFS(Данные!$D$2:$D$1001,Данные!$B$2:$B$1001,$A67,Данные!$C$2:$C$1001,"2023-10*")</f>
        <v>0</v>
      </c>
      <c r="D67" s="5">
        <f>SUMIFS(Данные!$D$2:$D$1001,Данные!$B$2:$B$1001,$A67,Данные!$C$2:$C$1001,"2023-11*")</f>
        <v>0</v>
      </c>
      <c r="E67" s="5">
        <f>SUMIFS(Данные!$D$2:$D$1001,Данные!$B$2:$B$1001,$A67,Данные!$C$2:$C$1001,"2023-12*")</f>
        <v>0</v>
      </c>
      <c r="F67" s="5">
        <f>SUMIFS(Данные!$D$2:$D$1001,Данные!$B$2:$B$1001,$A67,Данные!$C$2:$C$1001,"2024-01*")</f>
        <v>47725</v>
      </c>
      <c r="G67" s="5">
        <f>SUMIFS(Данные!$D$2:$D$1001,Данные!$B$2:$B$1001,$A67,Данные!$C$2:$C$1001,"2024-02*")</f>
        <v>0</v>
      </c>
      <c r="H67" s="5">
        <f>SUMIFS(Данные!$D$2:$D$1001,Данные!$B$2:$B$1001,$A67,Данные!$C$2:$C$1001,"2024-03*")</f>
        <v>0</v>
      </c>
      <c r="I67" s="5">
        <f>SUMIFS(Данные!$D$2:$D$1001,Данные!$B$2:$B$1001,$A67,Данные!$C$2:$C$1001,"2024-04*")</f>
        <v>0</v>
      </c>
      <c r="J67" s="5">
        <f>SUMIFS(Данные!$D$2:$D$1001,Данные!$B$2:$B$1001,$A67,Данные!$C$2:$C$1001,"2024-05*")</f>
        <v>0</v>
      </c>
      <c r="K67" s="5">
        <f>SUMIFS(Данные!$D$2:$D$1001,Данные!$B$2:$B$1001,$A67,Данные!$C$2:$C$1001,"2024-06*")</f>
        <v>0</v>
      </c>
      <c r="L67" s="5">
        <f>SUMIFS(Данные!$D$2:$D$1001,Данные!$B$2:$B$1001,$A67,Данные!$C$2:$C$1001,"2024-07*")</f>
        <v>0</v>
      </c>
      <c r="M67" s="5">
        <f>SUMIFS(Данные!$D$2:$D$1001,Данные!$B$2:$B$1001,$A67,Данные!$C$2:$C$1001,"2024-08*")</f>
        <v>0</v>
      </c>
      <c r="N67" s="5">
        <f>SUMIFS(Данные!$D$2:$D$1001,Данные!$B$2:$B$1001,$A67,Данные!$C$2:$C$1001,"2024-09*")</f>
        <v>0</v>
      </c>
      <c r="O67" s="8" t="str">
        <f t="shared" si="8"/>
        <v>C</v>
      </c>
      <c r="P67" s="8" t="str">
        <f t="shared" si="9"/>
        <v>Z</v>
      </c>
      <c r="Q67" s="9">
        <f t="shared" si="10"/>
        <v>47725</v>
      </c>
    </row>
    <row r="68" spans="1:17" ht="14.25" customHeight="1" x14ac:dyDescent="0.25">
      <c r="A68" s="5" t="s">
        <v>62</v>
      </c>
      <c r="B68" s="5">
        <f>SUMIFS(Данные!$D$2:$D$1001,Данные!$B$2:$B$1001,$A68,Данные!$C$2:$C$1001,"2023-09*")</f>
        <v>23154</v>
      </c>
      <c r="C68" s="5">
        <f>SUMIFS(Данные!$D$2:$D$1001,Данные!$B$2:$B$1001,$A68,Данные!$C$2:$C$1001,"2023-10*")</f>
        <v>0</v>
      </c>
      <c r="D68" s="5">
        <f>SUMIFS(Данные!$D$2:$D$1001,Данные!$B$2:$B$1001,$A68,Данные!$C$2:$C$1001,"2023-11*")</f>
        <v>0</v>
      </c>
      <c r="E68" s="5">
        <f>SUMIFS(Данные!$D$2:$D$1001,Данные!$B$2:$B$1001,$A68,Данные!$C$2:$C$1001,"2023-12*")</f>
        <v>267746</v>
      </c>
      <c r="F68" s="5">
        <f>SUMIFS(Данные!$D$2:$D$1001,Данные!$B$2:$B$1001,$A68,Данные!$C$2:$C$1001,"2024-01*")</f>
        <v>0</v>
      </c>
      <c r="G68" s="5">
        <f>SUMIFS(Данные!$D$2:$D$1001,Данные!$B$2:$B$1001,$A68,Данные!$C$2:$C$1001,"2024-02*")</f>
        <v>0</v>
      </c>
      <c r="H68" s="5">
        <f>SUMIFS(Данные!$D$2:$D$1001,Данные!$B$2:$B$1001,$A68,Данные!$C$2:$C$1001,"2024-03*")</f>
        <v>0</v>
      </c>
      <c r="I68" s="5">
        <f>SUMIFS(Данные!$D$2:$D$1001,Данные!$B$2:$B$1001,$A68,Данные!$C$2:$C$1001,"2024-04*")</f>
        <v>0</v>
      </c>
      <c r="J68" s="5">
        <f>SUMIFS(Данные!$D$2:$D$1001,Данные!$B$2:$B$1001,$A68,Данные!$C$2:$C$1001,"2024-05*")</f>
        <v>0</v>
      </c>
      <c r="K68" s="5">
        <f>SUMIFS(Данные!$D$2:$D$1001,Данные!$B$2:$B$1001,$A68,Данные!$C$2:$C$1001,"2024-06*")</f>
        <v>0</v>
      </c>
      <c r="L68" s="5">
        <f>SUMIFS(Данные!$D$2:$D$1001,Данные!$B$2:$B$1001,$A68,Данные!$C$2:$C$1001,"2024-07*")</f>
        <v>0</v>
      </c>
      <c r="M68" s="5">
        <f>SUMIFS(Данные!$D$2:$D$1001,Данные!$B$2:$B$1001,$A68,Данные!$C$2:$C$1001,"2024-08*")</f>
        <v>105432</v>
      </c>
      <c r="N68" s="5">
        <f>SUMIFS(Данные!$D$2:$D$1001,Данные!$B$2:$B$1001,$A68,Данные!$C$2:$C$1001,"2024-09*")</f>
        <v>0</v>
      </c>
      <c r="O68" s="8" t="str">
        <f t="shared" si="8"/>
        <v>A</v>
      </c>
      <c r="P68" s="8" t="str">
        <f t="shared" si="9"/>
        <v>Z</v>
      </c>
      <c r="Q68" s="9">
        <f t="shared" si="10"/>
        <v>396332</v>
      </c>
    </row>
    <row r="69" spans="1:17" ht="14.25" customHeight="1" x14ac:dyDescent="0.25">
      <c r="A69" s="5" t="s">
        <v>18</v>
      </c>
      <c r="B69" s="5">
        <f>SUMIFS(Данные!$D$2:$D$1001,Данные!$B$2:$B$1001,$A69,Данные!$C$2:$C$1001,"2023-09*")</f>
        <v>44795</v>
      </c>
      <c r="C69" s="5">
        <f>SUMIFS(Данные!$D$2:$D$1001,Данные!$B$2:$B$1001,$A69,Данные!$C$2:$C$1001,"2023-10*")</f>
        <v>95130</v>
      </c>
      <c r="D69" s="5">
        <f>SUMIFS(Данные!$D$2:$D$1001,Данные!$B$2:$B$1001,$A69,Данные!$C$2:$C$1001,"2023-11*")</f>
        <v>45782</v>
      </c>
      <c r="E69" s="5">
        <f>SUMIFS(Данные!$D$2:$D$1001,Данные!$B$2:$B$1001,$A69,Данные!$C$2:$C$1001,"2023-12*")</f>
        <v>0</v>
      </c>
      <c r="F69" s="5">
        <f>SUMIFS(Данные!$D$2:$D$1001,Данные!$B$2:$B$1001,$A69,Данные!$C$2:$C$1001,"2024-01*")</f>
        <v>97529</v>
      </c>
      <c r="G69" s="5">
        <f>SUMIFS(Данные!$D$2:$D$1001,Данные!$B$2:$B$1001,$A69,Данные!$C$2:$C$1001,"2024-02*")</f>
        <v>0</v>
      </c>
      <c r="H69" s="5">
        <f>SUMIFS(Данные!$D$2:$D$1001,Данные!$B$2:$B$1001,$A69,Данные!$C$2:$C$1001,"2024-03*")</f>
        <v>0</v>
      </c>
      <c r="I69" s="5">
        <f>SUMIFS(Данные!$D$2:$D$1001,Данные!$B$2:$B$1001,$A69,Данные!$C$2:$C$1001,"2024-04*")</f>
        <v>0</v>
      </c>
      <c r="J69" s="5">
        <f>SUMIFS(Данные!$D$2:$D$1001,Данные!$B$2:$B$1001,$A69,Данные!$C$2:$C$1001,"2024-05*")</f>
        <v>0</v>
      </c>
      <c r="K69" s="5">
        <f>SUMIFS(Данные!$D$2:$D$1001,Данные!$B$2:$B$1001,$A69,Данные!$C$2:$C$1001,"2024-06*")</f>
        <v>0</v>
      </c>
      <c r="L69" s="5">
        <f>SUMIFS(Данные!$D$2:$D$1001,Данные!$B$2:$B$1001,$A69,Данные!$C$2:$C$1001,"2024-07*")</f>
        <v>28405</v>
      </c>
      <c r="M69" s="5">
        <f>SUMIFS(Данные!$D$2:$D$1001,Данные!$B$2:$B$1001,$A69,Данные!$C$2:$C$1001,"2024-08*")</f>
        <v>0</v>
      </c>
      <c r="N69" s="5">
        <f>SUMIFS(Данные!$D$2:$D$1001,Данные!$B$2:$B$1001,$A69,Данные!$C$2:$C$1001,"2024-09*")</f>
        <v>0</v>
      </c>
      <c r="O69" s="8" t="str">
        <f t="shared" si="8"/>
        <v>A</v>
      </c>
      <c r="P69" s="8" t="str">
        <f t="shared" si="9"/>
        <v>Z</v>
      </c>
      <c r="Q69" s="9">
        <f t="shared" si="10"/>
        <v>311641</v>
      </c>
    </row>
    <row r="70" spans="1:17" ht="14.25" customHeight="1" x14ac:dyDescent="0.25">
      <c r="A70" s="5" t="s">
        <v>92</v>
      </c>
      <c r="B70" s="5">
        <f>SUMIFS(Данные!$D$2:$D$1001,Данные!$B$2:$B$1001,$A70,Данные!$C$2:$C$1001,"2023-09*")</f>
        <v>17112</v>
      </c>
      <c r="C70" s="5">
        <f>SUMIFS(Данные!$D$2:$D$1001,Данные!$B$2:$B$1001,$A70,Данные!$C$2:$C$1001,"2023-10*")</f>
        <v>114121</v>
      </c>
      <c r="D70" s="5">
        <f>SUMIFS(Данные!$D$2:$D$1001,Данные!$B$2:$B$1001,$A70,Данные!$C$2:$C$1001,"2023-11*")</f>
        <v>0</v>
      </c>
      <c r="E70" s="5">
        <f>SUMIFS(Данные!$D$2:$D$1001,Данные!$B$2:$B$1001,$A70,Данные!$C$2:$C$1001,"2023-12*")</f>
        <v>34109</v>
      </c>
      <c r="F70" s="5">
        <f>SUMIFS(Данные!$D$2:$D$1001,Данные!$B$2:$B$1001,$A70,Данные!$C$2:$C$1001,"2024-01*")</f>
        <v>0</v>
      </c>
      <c r="G70" s="5">
        <f>SUMIFS(Данные!$D$2:$D$1001,Данные!$B$2:$B$1001,$A70,Данные!$C$2:$C$1001,"2024-02*")</f>
        <v>26134</v>
      </c>
      <c r="H70" s="5">
        <f>SUMIFS(Данные!$D$2:$D$1001,Данные!$B$2:$B$1001,$A70,Данные!$C$2:$C$1001,"2024-03*")</f>
        <v>76420</v>
      </c>
      <c r="I70" s="5">
        <f>SUMIFS(Данные!$D$2:$D$1001,Данные!$B$2:$B$1001,$A70,Данные!$C$2:$C$1001,"2024-04*")</f>
        <v>17778</v>
      </c>
      <c r="J70" s="5">
        <f>SUMIFS(Данные!$D$2:$D$1001,Данные!$B$2:$B$1001,$A70,Данные!$C$2:$C$1001,"2024-05*")</f>
        <v>0</v>
      </c>
      <c r="K70" s="5">
        <f>SUMIFS(Данные!$D$2:$D$1001,Данные!$B$2:$B$1001,$A70,Данные!$C$2:$C$1001,"2024-06*")</f>
        <v>51951</v>
      </c>
      <c r="L70" s="5">
        <f>SUMIFS(Данные!$D$2:$D$1001,Данные!$B$2:$B$1001,$A70,Данные!$C$2:$C$1001,"2024-07*")</f>
        <v>77002</v>
      </c>
      <c r="M70" s="5">
        <f>SUMIFS(Данные!$D$2:$D$1001,Данные!$B$2:$B$1001,$A70,Данные!$C$2:$C$1001,"2024-08*")</f>
        <v>159768</v>
      </c>
      <c r="N70" s="5">
        <f>SUMIFS(Данные!$D$2:$D$1001,Данные!$B$2:$B$1001,$A70,Данные!$C$2:$C$1001,"2024-09*")</f>
        <v>0</v>
      </c>
      <c r="O70" s="8" t="str">
        <f t="shared" si="8"/>
        <v>A</v>
      </c>
      <c r="P70" s="8" t="str">
        <f t="shared" si="9"/>
        <v>Z</v>
      </c>
      <c r="Q70" s="9">
        <f t="shared" si="10"/>
        <v>574395</v>
      </c>
    </row>
    <row r="71" spans="1:17" ht="14.25" customHeight="1" x14ac:dyDescent="0.25">
      <c r="A71" s="5" t="s">
        <v>105</v>
      </c>
      <c r="B71" s="5">
        <f>SUMIFS(Данные!$D$2:$D$1001,Данные!$B$2:$B$1001,$A71,Данные!$C$2:$C$1001,"2023-09*")</f>
        <v>0</v>
      </c>
      <c r="C71" s="5">
        <f>SUMIFS(Данные!$D$2:$D$1001,Данные!$B$2:$B$1001,$A71,Данные!$C$2:$C$1001,"2023-10*")</f>
        <v>178414</v>
      </c>
      <c r="D71" s="5">
        <f>SUMIFS(Данные!$D$2:$D$1001,Данные!$B$2:$B$1001,$A71,Данные!$C$2:$C$1001,"2023-11*")</f>
        <v>19290</v>
      </c>
      <c r="E71" s="5">
        <f>SUMIFS(Данные!$D$2:$D$1001,Данные!$B$2:$B$1001,$A71,Данные!$C$2:$C$1001,"2023-12*")</f>
        <v>0</v>
      </c>
      <c r="F71" s="5">
        <f>SUMIFS(Данные!$D$2:$D$1001,Данные!$B$2:$B$1001,$A71,Данные!$C$2:$C$1001,"2024-01*")</f>
        <v>0</v>
      </c>
      <c r="G71" s="5">
        <f>SUMIFS(Данные!$D$2:$D$1001,Данные!$B$2:$B$1001,$A71,Данные!$C$2:$C$1001,"2024-02*")</f>
        <v>0</v>
      </c>
      <c r="H71" s="5">
        <f>SUMIFS(Данные!$D$2:$D$1001,Данные!$B$2:$B$1001,$A71,Данные!$C$2:$C$1001,"2024-03*")</f>
        <v>94119</v>
      </c>
      <c r="I71" s="5">
        <f>SUMIFS(Данные!$D$2:$D$1001,Данные!$B$2:$B$1001,$A71,Данные!$C$2:$C$1001,"2024-04*")</f>
        <v>0</v>
      </c>
      <c r="J71" s="5">
        <f>SUMIFS(Данные!$D$2:$D$1001,Данные!$B$2:$B$1001,$A71,Данные!$C$2:$C$1001,"2024-05*")</f>
        <v>211389</v>
      </c>
      <c r="K71" s="5">
        <f>SUMIFS(Данные!$D$2:$D$1001,Данные!$B$2:$B$1001,$A71,Данные!$C$2:$C$1001,"2024-06*")</f>
        <v>0</v>
      </c>
      <c r="L71" s="5">
        <f>SUMIFS(Данные!$D$2:$D$1001,Данные!$B$2:$B$1001,$A71,Данные!$C$2:$C$1001,"2024-07*")</f>
        <v>0</v>
      </c>
      <c r="M71" s="5">
        <f>SUMIFS(Данные!$D$2:$D$1001,Данные!$B$2:$B$1001,$A71,Данные!$C$2:$C$1001,"2024-08*")</f>
        <v>0</v>
      </c>
      <c r="N71" s="5">
        <f>SUMIFS(Данные!$D$2:$D$1001,Данные!$B$2:$B$1001,$A71,Данные!$C$2:$C$1001,"2024-09*")</f>
        <v>0</v>
      </c>
      <c r="O71" s="8" t="str">
        <f t="shared" si="8"/>
        <v>A</v>
      </c>
      <c r="P71" s="8" t="str">
        <f t="shared" si="9"/>
        <v>Z</v>
      </c>
      <c r="Q71" s="9">
        <f t="shared" si="10"/>
        <v>503212</v>
      </c>
    </row>
    <row r="72" spans="1:17" ht="14.25" customHeight="1" x14ac:dyDescent="0.25">
      <c r="A72" s="5" t="s">
        <v>193</v>
      </c>
      <c r="B72" s="5">
        <f>SUMIFS(Данные!$D$2:$D$1001,Данные!$B$2:$B$1001,$A72,Данные!$C$2:$C$1001,"2023-09*")</f>
        <v>0</v>
      </c>
      <c r="C72" s="5">
        <f>SUMIFS(Данные!$D$2:$D$1001,Данные!$B$2:$B$1001,$A72,Данные!$C$2:$C$1001,"2023-10*")</f>
        <v>0</v>
      </c>
      <c r="D72" s="5">
        <f>SUMIFS(Данные!$D$2:$D$1001,Данные!$B$2:$B$1001,$A72,Данные!$C$2:$C$1001,"2023-11*")</f>
        <v>89564</v>
      </c>
      <c r="E72" s="5">
        <f>SUMIFS(Данные!$D$2:$D$1001,Данные!$B$2:$B$1001,$A72,Данные!$C$2:$C$1001,"2023-12*")</f>
        <v>22347</v>
      </c>
      <c r="F72" s="5">
        <f>SUMIFS(Данные!$D$2:$D$1001,Данные!$B$2:$B$1001,$A72,Данные!$C$2:$C$1001,"2024-01*")</f>
        <v>0</v>
      </c>
      <c r="G72" s="5">
        <f>SUMIFS(Данные!$D$2:$D$1001,Данные!$B$2:$B$1001,$A72,Данные!$C$2:$C$1001,"2024-02*")</f>
        <v>0</v>
      </c>
      <c r="H72" s="5">
        <f>SUMIFS(Данные!$D$2:$D$1001,Данные!$B$2:$B$1001,$A72,Данные!$C$2:$C$1001,"2024-03*")</f>
        <v>60576</v>
      </c>
      <c r="I72" s="5">
        <f>SUMIFS(Данные!$D$2:$D$1001,Данные!$B$2:$B$1001,$A72,Данные!$C$2:$C$1001,"2024-04*")</f>
        <v>0</v>
      </c>
      <c r="J72" s="5">
        <f>SUMIFS(Данные!$D$2:$D$1001,Данные!$B$2:$B$1001,$A72,Данные!$C$2:$C$1001,"2024-05*")</f>
        <v>0</v>
      </c>
      <c r="K72" s="5">
        <f>SUMIFS(Данные!$D$2:$D$1001,Данные!$B$2:$B$1001,$A72,Данные!$C$2:$C$1001,"2024-06*")</f>
        <v>0</v>
      </c>
      <c r="L72" s="5">
        <f>SUMIFS(Данные!$D$2:$D$1001,Данные!$B$2:$B$1001,$A72,Данные!$C$2:$C$1001,"2024-07*")</f>
        <v>64250</v>
      </c>
      <c r="M72" s="5">
        <f>SUMIFS(Данные!$D$2:$D$1001,Данные!$B$2:$B$1001,$A72,Данные!$C$2:$C$1001,"2024-08*")</f>
        <v>77887</v>
      </c>
      <c r="N72" s="5">
        <f>SUMIFS(Данные!$D$2:$D$1001,Данные!$B$2:$B$1001,$A72,Данные!$C$2:$C$1001,"2024-09*")</f>
        <v>0</v>
      </c>
      <c r="O72" s="8" t="str">
        <f t="shared" si="8"/>
        <v>A</v>
      </c>
      <c r="P72" s="8" t="str">
        <f t="shared" si="9"/>
        <v>Z</v>
      </c>
      <c r="Q72" s="9">
        <f t="shared" si="10"/>
        <v>314624</v>
      </c>
    </row>
    <row r="73" spans="1:17" ht="14.25" customHeight="1" x14ac:dyDescent="0.25">
      <c r="A73" s="5" t="s">
        <v>243</v>
      </c>
      <c r="B73" s="5">
        <f>SUMIFS(Данные!$D$2:$D$1001,Данные!$B$2:$B$1001,$A73,Данные!$C$2:$C$1001,"2023-09*")</f>
        <v>0</v>
      </c>
      <c r="C73" s="5">
        <f>SUMIFS(Данные!$D$2:$D$1001,Данные!$B$2:$B$1001,$A73,Данные!$C$2:$C$1001,"2023-10*")</f>
        <v>0</v>
      </c>
      <c r="D73" s="5">
        <f>SUMIFS(Данные!$D$2:$D$1001,Данные!$B$2:$B$1001,$A73,Данные!$C$2:$C$1001,"2023-11*")</f>
        <v>0</v>
      </c>
      <c r="E73" s="5">
        <f>SUMIFS(Данные!$D$2:$D$1001,Данные!$B$2:$B$1001,$A73,Данные!$C$2:$C$1001,"2023-12*")</f>
        <v>22281</v>
      </c>
      <c r="F73" s="5">
        <f>SUMIFS(Данные!$D$2:$D$1001,Данные!$B$2:$B$1001,$A73,Данные!$C$2:$C$1001,"2024-01*")</f>
        <v>66854</v>
      </c>
      <c r="G73" s="5">
        <f>SUMIFS(Данные!$D$2:$D$1001,Данные!$B$2:$B$1001,$A73,Данные!$C$2:$C$1001,"2024-02*")</f>
        <v>24621</v>
      </c>
      <c r="H73" s="5">
        <f>SUMIFS(Данные!$D$2:$D$1001,Данные!$B$2:$B$1001,$A73,Данные!$C$2:$C$1001,"2024-03*")</f>
        <v>52912</v>
      </c>
      <c r="I73" s="5">
        <f>SUMIFS(Данные!$D$2:$D$1001,Данные!$B$2:$B$1001,$A73,Данные!$C$2:$C$1001,"2024-04*")</f>
        <v>0</v>
      </c>
      <c r="J73" s="5">
        <f>SUMIFS(Данные!$D$2:$D$1001,Данные!$B$2:$B$1001,$A73,Данные!$C$2:$C$1001,"2024-05*")</f>
        <v>0</v>
      </c>
      <c r="K73" s="5">
        <f>SUMIFS(Данные!$D$2:$D$1001,Данные!$B$2:$B$1001,$A73,Данные!$C$2:$C$1001,"2024-06*")</f>
        <v>0</v>
      </c>
      <c r="L73" s="5">
        <f>SUMIFS(Данные!$D$2:$D$1001,Данные!$B$2:$B$1001,$A73,Данные!$C$2:$C$1001,"2024-07*")</f>
        <v>0</v>
      </c>
      <c r="M73" s="5">
        <f>SUMIFS(Данные!$D$2:$D$1001,Данные!$B$2:$B$1001,$A73,Данные!$C$2:$C$1001,"2024-08*")</f>
        <v>65650</v>
      </c>
      <c r="N73" s="5">
        <f>SUMIFS(Данные!$D$2:$D$1001,Данные!$B$2:$B$1001,$A73,Данные!$C$2:$C$1001,"2024-09*")</f>
        <v>0</v>
      </c>
      <c r="O73" s="8" t="str">
        <f t="shared" si="8"/>
        <v>A</v>
      </c>
      <c r="P73" s="8" t="str">
        <f t="shared" si="9"/>
        <v>Z</v>
      </c>
      <c r="Q73" s="9">
        <f t="shared" si="10"/>
        <v>232318</v>
      </c>
    </row>
    <row r="74" spans="1:17" ht="14.25" customHeight="1" x14ac:dyDescent="0.25">
      <c r="A74" s="5" t="s">
        <v>54</v>
      </c>
      <c r="B74" s="5">
        <f>SUMIFS(Данные!$D$2:$D$1001,Данные!$B$2:$B$1001,$A74,Данные!$C$2:$C$1001,"2023-09*")</f>
        <v>59796</v>
      </c>
      <c r="C74" s="5">
        <f>SUMIFS(Данные!$D$2:$D$1001,Данные!$B$2:$B$1001,$A74,Данные!$C$2:$C$1001,"2023-10*")</f>
        <v>0</v>
      </c>
      <c r="D74" s="5">
        <f>SUMIFS(Данные!$D$2:$D$1001,Данные!$B$2:$B$1001,$A74,Данные!$C$2:$C$1001,"2023-11*")</f>
        <v>72300</v>
      </c>
      <c r="E74" s="5">
        <f>SUMIFS(Данные!$D$2:$D$1001,Данные!$B$2:$B$1001,$A74,Данные!$C$2:$C$1001,"2023-12*")</f>
        <v>0</v>
      </c>
      <c r="F74" s="5">
        <f>SUMIFS(Данные!$D$2:$D$1001,Данные!$B$2:$B$1001,$A74,Данные!$C$2:$C$1001,"2024-01*")</f>
        <v>0</v>
      </c>
      <c r="G74" s="5">
        <f>SUMIFS(Данные!$D$2:$D$1001,Данные!$B$2:$B$1001,$A74,Данные!$C$2:$C$1001,"2024-02*")</f>
        <v>21128</v>
      </c>
      <c r="H74" s="5">
        <f>SUMIFS(Данные!$D$2:$D$1001,Данные!$B$2:$B$1001,$A74,Данные!$C$2:$C$1001,"2024-03*")</f>
        <v>0</v>
      </c>
      <c r="I74" s="5">
        <f>SUMIFS(Данные!$D$2:$D$1001,Данные!$B$2:$B$1001,$A74,Данные!$C$2:$C$1001,"2024-04*")</f>
        <v>0</v>
      </c>
      <c r="J74" s="5">
        <f>SUMIFS(Данные!$D$2:$D$1001,Данные!$B$2:$B$1001,$A74,Данные!$C$2:$C$1001,"2024-05*")</f>
        <v>76472</v>
      </c>
      <c r="K74" s="5">
        <f>SUMIFS(Данные!$D$2:$D$1001,Данные!$B$2:$B$1001,$A74,Данные!$C$2:$C$1001,"2024-06*")</f>
        <v>0</v>
      </c>
      <c r="L74" s="5">
        <f>SUMIFS(Данные!$D$2:$D$1001,Данные!$B$2:$B$1001,$A74,Данные!$C$2:$C$1001,"2024-07*")</f>
        <v>187036</v>
      </c>
      <c r="M74" s="5">
        <f>SUMIFS(Данные!$D$2:$D$1001,Данные!$B$2:$B$1001,$A74,Данные!$C$2:$C$1001,"2024-08*")</f>
        <v>0</v>
      </c>
      <c r="N74" s="5">
        <f>SUMIFS(Данные!$D$2:$D$1001,Данные!$B$2:$B$1001,$A74,Данные!$C$2:$C$1001,"2024-09*")</f>
        <v>0</v>
      </c>
      <c r="O74" s="8" t="str">
        <f t="shared" si="8"/>
        <v>A</v>
      </c>
      <c r="P74" s="8" t="str">
        <f t="shared" si="9"/>
        <v>Z</v>
      </c>
      <c r="Q74" s="9">
        <f t="shared" si="10"/>
        <v>416732</v>
      </c>
    </row>
    <row r="75" spans="1:17" ht="14.25" customHeight="1" x14ac:dyDescent="0.25">
      <c r="A75" s="5" t="s">
        <v>384</v>
      </c>
      <c r="B75" s="5">
        <f>SUMIFS(Данные!$D$2:$D$1001,Данные!$B$2:$B$1001,$A75,Данные!$C$2:$C$1001,"2023-09*")</f>
        <v>0</v>
      </c>
      <c r="C75" s="5">
        <f>SUMIFS(Данные!$D$2:$D$1001,Данные!$B$2:$B$1001,$A75,Данные!$C$2:$C$1001,"2023-10*")</f>
        <v>0</v>
      </c>
      <c r="D75" s="5">
        <f>SUMIFS(Данные!$D$2:$D$1001,Данные!$B$2:$B$1001,$A75,Данные!$C$2:$C$1001,"2023-11*")</f>
        <v>0</v>
      </c>
      <c r="E75" s="5">
        <f>SUMIFS(Данные!$D$2:$D$1001,Данные!$B$2:$B$1001,$A75,Данные!$C$2:$C$1001,"2023-12*")</f>
        <v>0</v>
      </c>
      <c r="F75" s="5">
        <f>SUMIFS(Данные!$D$2:$D$1001,Данные!$B$2:$B$1001,$A75,Данные!$C$2:$C$1001,"2024-01*")</f>
        <v>0</v>
      </c>
      <c r="G75" s="5">
        <f>SUMIFS(Данные!$D$2:$D$1001,Данные!$B$2:$B$1001,$A75,Данные!$C$2:$C$1001,"2024-02*")</f>
        <v>0</v>
      </c>
      <c r="H75" s="5">
        <f>SUMIFS(Данные!$D$2:$D$1001,Данные!$B$2:$B$1001,$A75,Данные!$C$2:$C$1001,"2024-03*")</f>
        <v>0</v>
      </c>
      <c r="I75" s="5">
        <f>SUMIFS(Данные!$D$2:$D$1001,Данные!$B$2:$B$1001,$A75,Данные!$C$2:$C$1001,"2024-04*")</f>
        <v>0</v>
      </c>
      <c r="J75" s="5">
        <f>SUMIFS(Данные!$D$2:$D$1001,Данные!$B$2:$B$1001,$A75,Данные!$C$2:$C$1001,"2024-05*")</f>
        <v>151652</v>
      </c>
      <c r="K75" s="5">
        <f>SUMIFS(Данные!$D$2:$D$1001,Данные!$B$2:$B$1001,$A75,Данные!$C$2:$C$1001,"2024-06*")</f>
        <v>0</v>
      </c>
      <c r="L75" s="5">
        <f>SUMIFS(Данные!$D$2:$D$1001,Данные!$B$2:$B$1001,$A75,Данные!$C$2:$C$1001,"2024-07*")</f>
        <v>0</v>
      </c>
      <c r="M75" s="5">
        <f>SUMIFS(Данные!$D$2:$D$1001,Данные!$B$2:$B$1001,$A75,Данные!$C$2:$C$1001,"2024-08*")</f>
        <v>0</v>
      </c>
      <c r="N75" s="5">
        <f>SUMIFS(Данные!$D$2:$D$1001,Данные!$B$2:$B$1001,$A75,Данные!$C$2:$C$1001,"2024-09*")</f>
        <v>0</v>
      </c>
      <c r="O75" s="8" t="str">
        <f t="shared" si="8"/>
        <v>B</v>
      </c>
      <c r="P75" s="8" t="str">
        <f t="shared" si="9"/>
        <v>Z</v>
      </c>
      <c r="Q75" s="9">
        <f t="shared" si="10"/>
        <v>151652</v>
      </c>
    </row>
    <row r="76" spans="1:17" ht="14.25" customHeight="1" x14ac:dyDescent="0.25">
      <c r="A76" s="5" t="s">
        <v>262</v>
      </c>
      <c r="B76" s="5">
        <f>SUMIFS(Данные!$D$2:$D$1001,Данные!$B$2:$B$1001,$A76,Данные!$C$2:$C$1001,"2023-09*")</f>
        <v>0</v>
      </c>
      <c r="C76" s="5">
        <f>SUMIFS(Данные!$D$2:$D$1001,Данные!$B$2:$B$1001,$A76,Данные!$C$2:$C$1001,"2023-10*")</f>
        <v>0</v>
      </c>
      <c r="D76" s="5">
        <f>SUMIFS(Данные!$D$2:$D$1001,Данные!$B$2:$B$1001,$A76,Данные!$C$2:$C$1001,"2023-11*")</f>
        <v>0</v>
      </c>
      <c r="E76" s="5">
        <f>SUMIFS(Данные!$D$2:$D$1001,Данные!$B$2:$B$1001,$A76,Данные!$C$2:$C$1001,"2023-12*")</f>
        <v>0</v>
      </c>
      <c r="F76" s="5">
        <f>SUMIFS(Данные!$D$2:$D$1001,Данные!$B$2:$B$1001,$A76,Данные!$C$2:$C$1001,"2024-01*")</f>
        <v>75326</v>
      </c>
      <c r="G76" s="5">
        <f>SUMIFS(Данные!$D$2:$D$1001,Данные!$B$2:$B$1001,$A76,Данные!$C$2:$C$1001,"2024-02*")</f>
        <v>0</v>
      </c>
      <c r="H76" s="5">
        <f>SUMIFS(Данные!$D$2:$D$1001,Данные!$B$2:$B$1001,$A76,Данные!$C$2:$C$1001,"2024-03*")</f>
        <v>0</v>
      </c>
      <c r="I76" s="5">
        <f>SUMIFS(Данные!$D$2:$D$1001,Данные!$B$2:$B$1001,$A76,Данные!$C$2:$C$1001,"2024-04*")</f>
        <v>0</v>
      </c>
      <c r="J76" s="5">
        <f>SUMIFS(Данные!$D$2:$D$1001,Данные!$B$2:$B$1001,$A76,Данные!$C$2:$C$1001,"2024-05*")</f>
        <v>0</v>
      </c>
      <c r="K76" s="5">
        <f>SUMIFS(Данные!$D$2:$D$1001,Данные!$B$2:$B$1001,$A76,Данные!$C$2:$C$1001,"2024-06*")</f>
        <v>96301</v>
      </c>
      <c r="L76" s="5">
        <f>SUMIFS(Данные!$D$2:$D$1001,Данные!$B$2:$B$1001,$A76,Данные!$C$2:$C$1001,"2024-07*")</f>
        <v>73743</v>
      </c>
      <c r="M76" s="5">
        <f>SUMIFS(Данные!$D$2:$D$1001,Данные!$B$2:$B$1001,$A76,Данные!$C$2:$C$1001,"2024-08*")</f>
        <v>0</v>
      </c>
      <c r="N76" s="5">
        <f>SUMIFS(Данные!$D$2:$D$1001,Данные!$B$2:$B$1001,$A76,Данные!$C$2:$C$1001,"2024-09*")</f>
        <v>0</v>
      </c>
      <c r="O76" s="8" t="str">
        <f t="shared" si="8"/>
        <v>A</v>
      </c>
      <c r="P76" s="8" t="str">
        <f t="shared" si="9"/>
        <v>Z</v>
      </c>
      <c r="Q76" s="9">
        <f t="shared" si="10"/>
        <v>245370</v>
      </c>
    </row>
    <row r="77" spans="1:17" ht="14.25" customHeight="1" x14ac:dyDescent="0.25">
      <c r="A77" s="5" t="s">
        <v>283</v>
      </c>
      <c r="B77" s="5">
        <f>SUMIFS(Данные!$D$2:$D$1001,Данные!$B$2:$B$1001,$A77,Данные!$C$2:$C$1001,"2023-09*")</f>
        <v>0</v>
      </c>
      <c r="C77" s="5">
        <f>SUMIFS(Данные!$D$2:$D$1001,Данные!$B$2:$B$1001,$A77,Данные!$C$2:$C$1001,"2023-10*")</f>
        <v>0</v>
      </c>
      <c r="D77" s="5">
        <f>SUMIFS(Данные!$D$2:$D$1001,Данные!$B$2:$B$1001,$A77,Данные!$C$2:$C$1001,"2023-11*")</f>
        <v>0</v>
      </c>
      <c r="E77" s="5">
        <f>SUMIFS(Данные!$D$2:$D$1001,Данные!$B$2:$B$1001,$A77,Данные!$C$2:$C$1001,"2023-12*")</f>
        <v>0</v>
      </c>
      <c r="F77" s="5">
        <f>SUMIFS(Данные!$D$2:$D$1001,Данные!$B$2:$B$1001,$A77,Данные!$C$2:$C$1001,"2024-01*")</f>
        <v>22228</v>
      </c>
      <c r="G77" s="5">
        <f>SUMIFS(Данные!$D$2:$D$1001,Данные!$B$2:$B$1001,$A77,Данные!$C$2:$C$1001,"2024-02*")</f>
        <v>0</v>
      </c>
      <c r="H77" s="5">
        <f>SUMIFS(Данные!$D$2:$D$1001,Данные!$B$2:$B$1001,$A77,Данные!$C$2:$C$1001,"2024-03*")</f>
        <v>0</v>
      </c>
      <c r="I77" s="5">
        <f>SUMIFS(Данные!$D$2:$D$1001,Данные!$B$2:$B$1001,$A77,Данные!$C$2:$C$1001,"2024-04*")</f>
        <v>0</v>
      </c>
      <c r="J77" s="5">
        <f>SUMIFS(Данные!$D$2:$D$1001,Данные!$B$2:$B$1001,$A77,Данные!$C$2:$C$1001,"2024-05*")</f>
        <v>0</v>
      </c>
      <c r="K77" s="5">
        <f>SUMIFS(Данные!$D$2:$D$1001,Данные!$B$2:$B$1001,$A77,Данные!$C$2:$C$1001,"2024-06*")</f>
        <v>0</v>
      </c>
      <c r="L77" s="5">
        <f>SUMIFS(Данные!$D$2:$D$1001,Данные!$B$2:$B$1001,$A77,Данные!$C$2:$C$1001,"2024-07*")</f>
        <v>0</v>
      </c>
      <c r="M77" s="5">
        <f>SUMIFS(Данные!$D$2:$D$1001,Данные!$B$2:$B$1001,$A77,Данные!$C$2:$C$1001,"2024-08*")</f>
        <v>50521</v>
      </c>
      <c r="N77" s="5">
        <f>SUMIFS(Данные!$D$2:$D$1001,Данные!$B$2:$B$1001,$A77,Данные!$C$2:$C$1001,"2024-09*")</f>
        <v>0</v>
      </c>
      <c r="O77" s="8" t="str">
        <f t="shared" si="8"/>
        <v>C</v>
      </c>
      <c r="P77" s="8" t="str">
        <f t="shared" si="9"/>
        <v>Z</v>
      </c>
      <c r="Q77" s="9">
        <f t="shared" si="10"/>
        <v>72749</v>
      </c>
    </row>
    <row r="78" spans="1:17" ht="14.25" customHeight="1" x14ac:dyDescent="0.25">
      <c r="A78" s="5" t="s">
        <v>172</v>
      </c>
      <c r="B78" s="5">
        <f>SUMIFS(Данные!$D$2:$D$1001,Данные!$B$2:$B$1001,$A78,Данные!$C$2:$C$1001,"2023-09*")</f>
        <v>0</v>
      </c>
      <c r="C78" s="5">
        <f>SUMIFS(Данные!$D$2:$D$1001,Данные!$B$2:$B$1001,$A78,Данные!$C$2:$C$1001,"2023-10*")</f>
        <v>0</v>
      </c>
      <c r="D78" s="5">
        <f>SUMIFS(Данные!$D$2:$D$1001,Данные!$B$2:$B$1001,$A78,Данные!$C$2:$C$1001,"2023-11*")</f>
        <v>38015</v>
      </c>
      <c r="E78" s="5">
        <f>SUMIFS(Данные!$D$2:$D$1001,Данные!$B$2:$B$1001,$A78,Данные!$C$2:$C$1001,"2023-12*")</f>
        <v>0</v>
      </c>
      <c r="F78" s="5">
        <f>SUMIFS(Данные!$D$2:$D$1001,Данные!$B$2:$B$1001,$A78,Данные!$C$2:$C$1001,"2024-01*")</f>
        <v>29318</v>
      </c>
      <c r="G78" s="5">
        <f>SUMIFS(Данные!$D$2:$D$1001,Данные!$B$2:$B$1001,$A78,Данные!$C$2:$C$1001,"2024-02*")</f>
        <v>0</v>
      </c>
      <c r="H78" s="5">
        <f>SUMIFS(Данные!$D$2:$D$1001,Данные!$B$2:$B$1001,$A78,Данные!$C$2:$C$1001,"2024-03*")</f>
        <v>0</v>
      </c>
      <c r="I78" s="5">
        <f>SUMIFS(Данные!$D$2:$D$1001,Данные!$B$2:$B$1001,$A78,Данные!$C$2:$C$1001,"2024-04*")</f>
        <v>0</v>
      </c>
      <c r="J78" s="5">
        <f>SUMIFS(Данные!$D$2:$D$1001,Данные!$B$2:$B$1001,$A78,Данные!$C$2:$C$1001,"2024-05*")</f>
        <v>12273</v>
      </c>
      <c r="K78" s="5">
        <f>SUMIFS(Данные!$D$2:$D$1001,Данные!$B$2:$B$1001,$A78,Данные!$C$2:$C$1001,"2024-06*")</f>
        <v>83808</v>
      </c>
      <c r="L78" s="5">
        <f>SUMIFS(Данные!$D$2:$D$1001,Данные!$B$2:$B$1001,$A78,Данные!$C$2:$C$1001,"2024-07*")</f>
        <v>0</v>
      </c>
      <c r="M78" s="5">
        <f>SUMIFS(Данные!$D$2:$D$1001,Данные!$B$2:$B$1001,$A78,Данные!$C$2:$C$1001,"2024-08*")</f>
        <v>0</v>
      </c>
      <c r="N78" s="5">
        <f>SUMIFS(Данные!$D$2:$D$1001,Данные!$B$2:$B$1001,$A78,Данные!$C$2:$C$1001,"2024-09*")</f>
        <v>0</v>
      </c>
      <c r="O78" s="8" t="str">
        <f t="shared" si="8"/>
        <v>B</v>
      </c>
      <c r="P78" s="8" t="str">
        <f t="shared" si="9"/>
        <v>Z</v>
      </c>
      <c r="Q78" s="9">
        <f t="shared" si="10"/>
        <v>163414</v>
      </c>
    </row>
    <row r="79" spans="1:17" ht="14.25" customHeight="1" x14ac:dyDescent="0.25">
      <c r="A79" s="5" t="s">
        <v>44</v>
      </c>
      <c r="B79" s="5">
        <f>SUMIFS(Данные!$D$2:$D$1001,Данные!$B$2:$B$1001,$A79,Данные!$C$2:$C$1001,"2023-09*")</f>
        <v>63230</v>
      </c>
      <c r="C79" s="5">
        <f>SUMIFS(Данные!$D$2:$D$1001,Данные!$B$2:$B$1001,$A79,Данные!$C$2:$C$1001,"2023-10*")</f>
        <v>0</v>
      </c>
      <c r="D79" s="5">
        <f>SUMIFS(Данные!$D$2:$D$1001,Данные!$B$2:$B$1001,$A79,Данные!$C$2:$C$1001,"2023-11*")</f>
        <v>86595</v>
      </c>
      <c r="E79" s="5">
        <f>SUMIFS(Данные!$D$2:$D$1001,Данные!$B$2:$B$1001,$A79,Данные!$C$2:$C$1001,"2023-12*")</f>
        <v>0</v>
      </c>
      <c r="F79" s="5">
        <f>SUMIFS(Данные!$D$2:$D$1001,Данные!$B$2:$B$1001,$A79,Данные!$C$2:$C$1001,"2024-01*")</f>
        <v>0</v>
      </c>
      <c r="G79" s="5">
        <f>SUMIFS(Данные!$D$2:$D$1001,Данные!$B$2:$B$1001,$A79,Данные!$C$2:$C$1001,"2024-02*")</f>
        <v>0</v>
      </c>
      <c r="H79" s="5">
        <f>SUMIFS(Данные!$D$2:$D$1001,Данные!$B$2:$B$1001,$A79,Данные!$C$2:$C$1001,"2024-03*")</f>
        <v>0</v>
      </c>
      <c r="I79" s="5">
        <f>SUMIFS(Данные!$D$2:$D$1001,Данные!$B$2:$B$1001,$A79,Данные!$C$2:$C$1001,"2024-04*")</f>
        <v>0</v>
      </c>
      <c r="J79" s="5">
        <f>SUMIFS(Данные!$D$2:$D$1001,Данные!$B$2:$B$1001,$A79,Данные!$C$2:$C$1001,"2024-05*")</f>
        <v>48250</v>
      </c>
      <c r="K79" s="5">
        <f>SUMIFS(Данные!$D$2:$D$1001,Данные!$B$2:$B$1001,$A79,Данные!$C$2:$C$1001,"2024-06*")</f>
        <v>0</v>
      </c>
      <c r="L79" s="5">
        <f>SUMIFS(Данные!$D$2:$D$1001,Данные!$B$2:$B$1001,$A79,Данные!$C$2:$C$1001,"2024-07*")</f>
        <v>0</v>
      </c>
      <c r="M79" s="5">
        <f>SUMIFS(Данные!$D$2:$D$1001,Данные!$B$2:$B$1001,$A79,Данные!$C$2:$C$1001,"2024-08*")</f>
        <v>0</v>
      </c>
      <c r="N79" s="5">
        <f>SUMIFS(Данные!$D$2:$D$1001,Данные!$B$2:$B$1001,$A79,Данные!$C$2:$C$1001,"2024-09*")</f>
        <v>0</v>
      </c>
      <c r="O79" s="8" t="str">
        <f t="shared" si="8"/>
        <v>B</v>
      </c>
      <c r="P79" s="8" t="str">
        <f t="shared" si="9"/>
        <v>Z</v>
      </c>
      <c r="Q79" s="9">
        <f t="shared" si="10"/>
        <v>198075</v>
      </c>
    </row>
    <row r="80" spans="1:17" ht="14.25" customHeight="1" x14ac:dyDescent="0.25">
      <c r="A80" s="5" t="s">
        <v>98</v>
      </c>
      <c r="B80" s="5">
        <f>SUMIFS(Данные!$D$2:$D$1001,Данные!$B$2:$B$1001,$A80,Данные!$C$2:$C$1001,"2023-09*")</f>
        <v>75555</v>
      </c>
      <c r="C80" s="5">
        <f>SUMIFS(Данные!$D$2:$D$1001,Данные!$B$2:$B$1001,$A80,Данные!$C$2:$C$1001,"2023-10*")</f>
        <v>0</v>
      </c>
      <c r="D80" s="5">
        <f>SUMIFS(Данные!$D$2:$D$1001,Данные!$B$2:$B$1001,$A80,Данные!$C$2:$C$1001,"2023-11*")</f>
        <v>0</v>
      </c>
      <c r="E80" s="5">
        <f>SUMIFS(Данные!$D$2:$D$1001,Данные!$B$2:$B$1001,$A80,Данные!$C$2:$C$1001,"2023-12*")</f>
        <v>0</v>
      </c>
      <c r="F80" s="5">
        <f>SUMIFS(Данные!$D$2:$D$1001,Данные!$B$2:$B$1001,$A80,Данные!$C$2:$C$1001,"2024-01*")</f>
        <v>119959</v>
      </c>
      <c r="G80" s="5">
        <f>SUMIFS(Данные!$D$2:$D$1001,Данные!$B$2:$B$1001,$A80,Данные!$C$2:$C$1001,"2024-02*")</f>
        <v>0</v>
      </c>
      <c r="H80" s="5">
        <f>SUMIFS(Данные!$D$2:$D$1001,Данные!$B$2:$B$1001,$A80,Данные!$C$2:$C$1001,"2024-03*")</f>
        <v>0</v>
      </c>
      <c r="I80" s="5">
        <f>SUMIFS(Данные!$D$2:$D$1001,Данные!$B$2:$B$1001,$A80,Данные!$C$2:$C$1001,"2024-04*")</f>
        <v>0</v>
      </c>
      <c r="J80" s="5">
        <f>SUMIFS(Данные!$D$2:$D$1001,Данные!$B$2:$B$1001,$A80,Данные!$C$2:$C$1001,"2024-05*")</f>
        <v>0</v>
      </c>
      <c r="K80" s="5">
        <f>SUMIFS(Данные!$D$2:$D$1001,Данные!$B$2:$B$1001,$A80,Данные!$C$2:$C$1001,"2024-06*")</f>
        <v>97866</v>
      </c>
      <c r="L80" s="5">
        <f>SUMIFS(Данные!$D$2:$D$1001,Данные!$B$2:$B$1001,$A80,Данные!$C$2:$C$1001,"2024-07*")</f>
        <v>64451</v>
      </c>
      <c r="M80" s="5">
        <f>SUMIFS(Данные!$D$2:$D$1001,Данные!$B$2:$B$1001,$A80,Данные!$C$2:$C$1001,"2024-08*")</f>
        <v>0</v>
      </c>
      <c r="N80" s="5">
        <f>SUMIFS(Данные!$D$2:$D$1001,Данные!$B$2:$B$1001,$A80,Данные!$C$2:$C$1001,"2024-09*")</f>
        <v>0</v>
      </c>
      <c r="O80" s="8" t="str">
        <f t="shared" si="8"/>
        <v>A</v>
      </c>
      <c r="P80" s="8" t="str">
        <f t="shared" si="9"/>
        <v>Z</v>
      </c>
      <c r="Q80" s="9">
        <f t="shared" si="10"/>
        <v>357831</v>
      </c>
    </row>
    <row r="81" spans="1:17" ht="14.25" customHeight="1" x14ac:dyDescent="0.25">
      <c r="A81" s="5" t="s">
        <v>167</v>
      </c>
      <c r="B81" s="5">
        <f>SUMIFS(Данные!$D$2:$D$1001,Данные!$B$2:$B$1001,$A81,Данные!$C$2:$C$1001,"2023-09*")</f>
        <v>0</v>
      </c>
      <c r="C81" s="5">
        <f>SUMIFS(Данные!$D$2:$D$1001,Данные!$B$2:$B$1001,$A81,Данные!$C$2:$C$1001,"2023-10*")</f>
        <v>0</v>
      </c>
      <c r="D81" s="5">
        <f>SUMIFS(Данные!$D$2:$D$1001,Данные!$B$2:$B$1001,$A81,Данные!$C$2:$C$1001,"2023-11*")</f>
        <v>96397</v>
      </c>
      <c r="E81" s="5">
        <f>SUMIFS(Данные!$D$2:$D$1001,Данные!$B$2:$B$1001,$A81,Данные!$C$2:$C$1001,"2023-12*")</f>
        <v>0</v>
      </c>
      <c r="F81" s="5">
        <f>SUMIFS(Данные!$D$2:$D$1001,Данные!$B$2:$B$1001,$A81,Данные!$C$2:$C$1001,"2024-01*")</f>
        <v>0</v>
      </c>
      <c r="G81" s="5">
        <f>SUMIFS(Данные!$D$2:$D$1001,Данные!$B$2:$B$1001,$A81,Данные!$C$2:$C$1001,"2024-02*")</f>
        <v>0</v>
      </c>
      <c r="H81" s="5">
        <f>SUMIFS(Данные!$D$2:$D$1001,Данные!$B$2:$B$1001,$A81,Данные!$C$2:$C$1001,"2024-03*")</f>
        <v>0</v>
      </c>
      <c r="I81" s="5">
        <f>SUMIFS(Данные!$D$2:$D$1001,Данные!$B$2:$B$1001,$A81,Данные!$C$2:$C$1001,"2024-04*")</f>
        <v>0</v>
      </c>
      <c r="J81" s="5">
        <f>SUMIFS(Данные!$D$2:$D$1001,Данные!$B$2:$B$1001,$A81,Данные!$C$2:$C$1001,"2024-05*")</f>
        <v>0</v>
      </c>
      <c r="K81" s="5">
        <f>SUMIFS(Данные!$D$2:$D$1001,Данные!$B$2:$B$1001,$A81,Данные!$C$2:$C$1001,"2024-06*")</f>
        <v>0</v>
      </c>
      <c r="L81" s="5">
        <f>SUMIFS(Данные!$D$2:$D$1001,Данные!$B$2:$B$1001,$A81,Данные!$C$2:$C$1001,"2024-07*")</f>
        <v>0</v>
      </c>
      <c r="M81" s="5">
        <f>SUMIFS(Данные!$D$2:$D$1001,Данные!$B$2:$B$1001,$A81,Данные!$C$2:$C$1001,"2024-08*")</f>
        <v>0</v>
      </c>
      <c r="N81" s="5">
        <f>SUMIFS(Данные!$D$2:$D$1001,Данные!$B$2:$B$1001,$A81,Данные!$C$2:$C$1001,"2024-09*")</f>
        <v>0</v>
      </c>
      <c r="O81" s="8" t="str">
        <f t="shared" si="8"/>
        <v>C</v>
      </c>
      <c r="P81" s="8" t="str">
        <f t="shared" si="9"/>
        <v>Z</v>
      </c>
      <c r="Q81" s="9">
        <f t="shared" si="10"/>
        <v>96397</v>
      </c>
    </row>
    <row r="82" spans="1:17" ht="14.25" customHeight="1" x14ac:dyDescent="0.25">
      <c r="A82" s="5" t="s">
        <v>142</v>
      </c>
      <c r="B82" s="5">
        <f>SUMIFS(Данные!$D$2:$D$1001,Данные!$B$2:$B$1001,$A82,Данные!$C$2:$C$1001,"2023-09*")</f>
        <v>0</v>
      </c>
      <c r="C82" s="5">
        <f>SUMIFS(Данные!$D$2:$D$1001,Данные!$B$2:$B$1001,$A82,Данные!$C$2:$C$1001,"2023-10*")</f>
        <v>90878</v>
      </c>
      <c r="D82" s="5">
        <f>SUMIFS(Данные!$D$2:$D$1001,Данные!$B$2:$B$1001,$A82,Данные!$C$2:$C$1001,"2023-11*")</f>
        <v>0</v>
      </c>
      <c r="E82" s="5">
        <f>SUMIFS(Данные!$D$2:$D$1001,Данные!$B$2:$B$1001,$A82,Данные!$C$2:$C$1001,"2023-12*")</f>
        <v>42256</v>
      </c>
      <c r="F82" s="5">
        <f>SUMIFS(Данные!$D$2:$D$1001,Данные!$B$2:$B$1001,$A82,Данные!$C$2:$C$1001,"2024-01*")</f>
        <v>0</v>
      </c>
      <c r="G82" s="5">
        <f>SUMIFS(Данные!$D$2:$D$1001,Данные!$B$2:$B$1001,$A82,Данные!$C$2:$C$1001,"2024-02*")</f>
        <v>0</v>
      </c>
      <c r="H82" s="5">
        <f>SUMIFS(Данные!$D$2:$D$1001,Данные!$B$2:$B$1001,$A82,Данные!$C$2:$C$1001,"2024-03*")</f>
        <v>0</v>
      </c>
      <c r="I82" s="5">
        <f>SUMIFS(Данные!$D$2:$D$1001,Данные!$B$2:$B$1001,$A82,Данные!$C$2:$C$1001,"2024-04*")</f>
        <v>0</v>
      </c>
      <c r="J82" s="5">
        <f>SUMIFS(Данные!$D$2:$D$1001,Данные!$B$2:$B$1001,$A82,Данные!$C$2:$C$1001,"2024-05*")</f>
        <v>98099</v>
      </c>
      <c r="K82" s="5">
        <f>SUMIFS(Данные!$D$2:$D$1001,Данные!$B$2:$B$1001,$A82,Данные!$C$2:$C$1001,"2024-06*")</f>
        <v>0</v>
      </c>
      <c r="L82" s="5">
        <f>SUMIFS(Данные!$D$2:$D$1001,Данные!$B$2:$B$1001,$A82,Данные!$C$2:$C$1001,"2024-07*")</f>
        <v>121997</v>
      </c>
      <c r="M82" s="5">
        <f>SUMIFS(Данные!$D$2:$D$1001,Данные!$B$2:$B$1001,$A82,Данные!$C$2:$C$1001,"2024-08*")</f>
        <v>0</v>
      </c>
      <c r="N82" s="5">
        <f>SUMIFS(Данные!$D$2:$D$1001,Данные!$B$2:$B$1001,$A82,Данные!$C$2:$C$1001,"2024-09*")</f>
        <v>0</v>
      </c>
      <c r="O82" s="8" t="str">
        <f t="shared" si="8"/>
        <v>A</v>
      </c>
      <c r="P82" s="8" t="str">
        <f t="shared" si="9"/>
        <v>Z</v>
      </c>
      <c r="Q82" s="9">
        <f t="shared" si="10"/>
        <v>353230</v>
      </c>
    </row>
    <row r="83" spans="1:17" ht="14.25" customHeight="1" x14ac:dyDescent="0.25">
      <c r="A83" s="5" t="s">
        <v>255</v>
      </c>
      <c r="B83" s="5">
        <f>SUMIFS(Данные!$D$2:$D$1001,Данные!$B$2:$B$1001,$A83,Данные!$C$2:$C$1001,"2023-09*")</f>
        <v>0</v>
      </c>
      <c r="C83" s="5">
        <f>SUMIFS(Данные!$D$2:$D$1001,Данные!$B$2:$B$1001,$A83,Данные!$C$2:$C$1001,"2023-10*")</f>
        <v>0</v>
      </c>
      <c r="D83" s="5">
        <f>SUMIFS(Данные!$D$2:$D$1001,Данные!$B$2:$B$1001,$A83,Данные!$C$2:$C$1001,"2023-11*")</f>
        <v>0</v>
      </c>
      <c r="E83" s="5">
        <f>SUMIFS(Данные!$D$2:$D$1001,Данные!$B$2:$B$1001,$A83,Данные!$C$2:$C$1001,"2023-12*")</f>
        <v>46445</v>
      </c>
      <c r="F83" s="5">
        <f>SUMIFS(Данные!$D$2:$D$1001,Данные!$B$2:$B$1001,$A83,Данные!$C$2:$C$1001,"2024-01*")</f>
        <v>0</v>
      </c>
      <c r="G83" s="5">
        <f>SUMIFS(Данные!$D$2:$D$1001,Данные!$B$2:$B$1001,$A83,Данные!$C$2:$C$1001,"2024-02*")</f>
        <v>0</v>
      </c>
      <c r="H83" s="5">
        <f>SUMIFS(Данные!$D$2:$D$1001,Данные!$B$2:$B$1001,$A83,Данные!$C$2:$C$1001,"2024-03*")</f>
        <v>47743</v>
      </c>
      <c r="I83" s="5">
        <f>SUMIFS(Данные!$D$2:$D$1001,Данные!$B$2:$B$1001,$A83,Данные!$C$2:$C$1001,"2024-04*")</f>
        <v>0</v>
      </c>
      <c r="J83" s="5">
        <f>SUMIFS(Данные!$D$2:$D$1001,Данные!$B$2:$B$1001,$A83,Данные!$C$2:$C$1001,"2024-05*")</f>
        <v>78011</v>
      </c>
      <c r="K83" s="5">
        <f>SUMIFS(Данные!$D$2:$D$1001,Данные!$B$2:$B$1001,$A83,Данные!$C$2:$C$1001,"2024-06*")</f>
        <v>42267</v>
      </c>
      <c r="L83" s="5">
        <f>SUMIFS(Данные!$D$2:$D$1001,Данные!$B$2:$B$1001,$A83,Данные!$C$2:$C$1001,"2024-07*")</f>
        <v>0</v>
      </c>
      <c r="M83" s="5">
        <f>SUMIFS(Данные!$D$2:$D$1001,Данные!$B$2:$B$1001,$A83,Данные!$C$2:$C$1001,"2024-08*")</f>
        <v>0</v>
      </c>
      <c r="N83" s="5">
        <f>SUMIFS(Данные!$D$2:$D$1001,Данные!$B$2:$B$1001,$A83,Данные!$C$2:$C$1001,"2024-09*")</f>
        <v>0</v>
      </c>
      <c r="O83" s="8" t="str">
        <f t="shared" si="8"/>
        <v>B</v>
      </c>
      <c r="P83" s="8" t="str">
        <f t="shared" si="9"/>
        <v>Z</v>
      </c>
      <c r="Q83" s="9">
        <f t="shared" si="10"/>
        <v>214466</v>
      </c>
    </row>
    <row r="84" spans="1:17" ht="14.25" customHeight="1" x14ac:dyDescent="0.25">
      <c r="A84" s="5" t="s">
        <v>117</v>
      </c>
      <c r="B84" s="5">
        <f>SUMIFS(Данные!$D$2:$D$1001,Данные!$B$2:$B$1001,$A84,Данные!$C$2:$C$1001,"2023-09*")</f>
        <v>0</v>
      </c>
      <c r="C84" s="5">
        <f>SUMIFS(Данные!$D$2:$D$1001,Данные!$B$2:$B$1001,$A84,Данные!$C$2:$C$1001,"2023-10*")</f>
        <v>36836</v>
      </c>
      <c r="D84" s="5">
        <f>SUMIFS(Данные!$D$2:$D$1001,Данные!$B$2:$B$1001,$A84,Данные!$C$2:$C$1001,"2023-11*")</f>
        <v>64759</v>
      </c>
      <c r="E84" s="5">
        <f>SUMIFS(Данные!$D$2:$D$1001,Данные!$B$2:$B$1001,$A84,Данные!$C$2:$C$1001,"2023-12*")</f>
        <v>0</v>
      </c>
      <c r="F84" s="5">
        <f>SUMIFS(Данные!$D$2:$D$1001,Данные!$B$2:$B$1001,$A84,Данные!$C$2:$C$1001,"2024-01*")</f>
        <v>34030</v>
      </c>
      <c r="G84" s="5">
        <f>SUMIFS(Данные!$D$2:$D$1001,Данные!$B$2:$B$1001,$A84,Данные!$C$2:$C$1001,"2024-02*")</f>
        <v>0</v>
      </c>
      <c r="H84" s="5">
        <f>SUMIFS(Данные!$D$2:$D$1001,Данные!$B$2:$B$1001,$A84,Данные!$C$2:$C$1001,"2024-03*")</f>
        <v>0</v>
      </c>
      <c r="I84" s="5">
        <f>SUMIFS(Данные!$D$2:$D$1001,Данные!$B$2:$B$1001,$A84,Данные!$C$2:$C$1001,"2024-04*")</f>
        <v>0</v>
      </c>
      <c r="J84" s="5">
        <f>SUMIFS(Данные!$D$2:$D$1001,Данные!$B$2:$B$1001,$A84,Данные!$C$2:$C$1001,"2024-05*")</f>
        <v>51015</v>
      </c>
      <c r="K84" s="5">
        <f>SUMIFS(Данные!$D$2:$D$1001,Данные!$B$2:$B$1001,$A84,Данные!$C$2:$C$1001,"2024-06*")</f>
        <v>84777</v>
      </c>
      <c r="L84" s="5">
        <f>SUMIFS(Данные!$D$2:$D$1001,Данные!$B$2:$B$1001,$A84,Данные!$C$2:$C$1001,"2024-07*")</f>
        <v>0</v>
      </c>
      <c r="M84" s="5">
        <f>SUMIFS(Данные!$D$2:$D$1001,Данные!$B$2:$B$1001,$A84,Данные!$C$2:$C$1001,"2024-08*")</f>
        <v>0</v>
      </c>
      <c r="N84" s="5">
        <f>SUMIFS(Данные!$D$2:$D$1001,Данные!$B$2:$B$1001,$A84,Данные!$C$2:$C$1001,"2024-09*")</f>
        <v>0</v>
      </c>
      <c r="O84" s="8" t="str">
        <f t="shared" si="8"/>
        <v>A</v>
      </c>
      <c r="P84" s="8" t="str">
        <f t="shared" si="9"/>
        <v>Z</v>
      </c>
      <c r="Q84" s="9">
        <f t="shared" si="10"/>
        <v>271417</v>
      </c>
    </row>
    <row r="85" spans="1:17" ht="14.25" customHeight="1" x14ac:dyDescent="0.25">
      <c r="A85" s="5" t="s">
        <v>131</v>
      </c>
      <c r="B85" s="5">
        <f>SUMIFS(Данные!$D$2:$D$1001,Данные!$B$2:$B$1001,$A85,Данные!$C$2:$C$1001,"2023-09*")</f>
        <v>0</v>
      </c>
      <c r="C85" s="5">
        <f>SUMIFS(Данные!$D$2:$D$1001,Данные!$B$2:$B$1001,$A85,Данные!$C$2:$C$1001,"2023-10*")</f>
        <v>16352</v>
      </c>
      <c r="D85" s="5">
        <f>SUMIFS(Данные!$D$2:$D$1001,Данные!$B$2:$B$1001,$A85,Данные!$C$2:$C$1001,"2023-11*")</f>
        <v>58565</v>
      </c>
      <c r="E85" s="5">
        <f>SUMIFS(Данные!$D$2:$D$1001,Данные!$B$2:$B$1001,$A85,Данные!$C$2:$C$1001,"2023-12*")</f>
        <v>0</v>
      </c>
      <c r="F85" s="5">
        <f>SUMIFS(Данные!$D$2:$D$1001,Данные!$B$2:$B$1001,$A85,Данные!$C$2:$C$1001,"2024-01*")</f>
        <v>0</v>
      </c>
      <c r="G85" s="5">
        <f>SUMIFS(Данные!$D$2:$D$1001,Данные!$B$2:$B$1001,$A85,Данные!$C$2:$C$1001,"2024-02*")</f>
        <v>91930</v>
      </c>
      <c r="H85" s="5">
        <f>SUMIFS(Данные!$D$2:$D$1001,Данные!$B$2:$B$1001,$A85,Данные!$C$2:$C$1001,"2024-03*")</f>
        <v>0</v>
      </c>
      <c r="I85" s="5">
        <f>SUMIFS(Данные!$D$2:$D$1001,Данные!$B$2:$B$1001,$A85,Данные!$C$2:$C$1001,"2024-04*")</f>
        <v>0</v>
      </c>
      <c r="J85" s="5">
        <f>SUMIFS(Данные!$D$2:$D$1001,Данные!$B$2:$B$1001,$A85,Данные!$C$2:$C$1001,"2024-05*")</f>
        <v>69120</v>
      </c>
      <c r="K85" s="5">
        <f>SUMIFS(Данные!$D$2:$D$1001,Данные!$B$2:$B$1001,$A85,Данные!$C$2:$C$1001,"2024-06*")</f>
        <v>0</v>
      </c>
      <c r="L85" s="5">
        <f>SUMIFS(Данные!$D$2:$D$1001,Данные!$B$2:$B$1001,$A85,Данные!$C$2:$C$1001,"2024-07*")</f>
        <v>79439</v>
      </c>
      <c r="M85" s="5">
        <f>SUMIFS(Данные!$D$2:$D$1001,Данные!$B$2:$B$1001,$A85,Данные!$C$2:$C$1001,"2024-08*")</f>
        <v>0</v>
      </c>
      <c r="N85" s="5">
        <f>SUMIFS(Данные!$D$2:$D$1001,Данные!$B$2:$B$1001,$A85,Данные!$C$2:$C$1001,"2024-09*")</f>
        <v>0</v>
      </c>
      <c r="O85" s="8" t="str">
        <f t="shared" si="8"/>
        <v>A</v>
      </c>
      <c r="P85" s="8" t="str">
        <f t="shared" si="9"/>
        <v>Z</v>
      </c>
      <c r="Q85" s="9">
        <f t="shared" si="10"/>
        <v>315406</v>
      </c>
    </row>
    <row r="86" spans="1:17" ht="14.25" customHeight="1" x14ac:dyDescent="0.25">
      <c r="A86" s="5" t="s">
        <v>64</v>
      </c>
      <c r="B86" s="5">
        <f>SUMIFS(Данные!$D$2:$D$1001,Данные!$B$2:$B$1001,$A86,Данные!$C$2:$C$1001,"2023-09*")</f>
        <v>16999</v>
      </c>
      <c r="C86" s="5">
        <f>SUMIFS(Данные!$D$2:$D$1001,Данные!$B$2:$B$1001,$A86,Данные!$C$2:$C$1001,"2023-10*")</f>
        <v>64969</v>
      </c>
      <c r="D86" s="5">
        <f>SUMIFS(Данные!$D$2:$D$1001,Данные!$B$2:$B$1001,$A86,Данные!$C$2:$C$1001,"2023-11*")</f>
        <v>65127</v>
      </c>
      <c r="E86" s="5">
        <f>SUMIFS(Данные!$D$2:$D$1001,Данные!$B$2:$B$1001,$A86,Данные!$C$2:$C$1001,"2023-12*")</f>
        <v>0</v>
      </c>
      <c r="F86" s="5">
        <f>SUMIFS(Данные!$D$2:$D$1001,Данные!$B$2:$B$1001,$A86,Данные!$C$2:$C$1001,"2024-01*")</f>
        <v>0</v>
      </c>
      <c r="G86" s="5">
        <f>SUMIFS(Данные!$D$2:$D$1001,Данные!$B$2:$B$1001,$A86,Данные!$C$2:$C$1001,"2024-02*")</f>
        <v>0</v>
      </c>
      <c r="H86" s="5">
        <f>SUMIFS(Данные!$D$2:$D$1001,Данные!$B$2:$B$1001,$A86,Данные!$C$2:$C$1001,"2024-03*")</f>
        <v>0</v>
      </c>
      <c r="I86" s="5">
        <f>SUMIFS(Данные!$D$2:$D$1001,Данные!$B$2:$B$1001,$A86,Данные!$C$2:$C$1001,"2024-04*")</f>
        <v>0</v>
      </c>
      <c r="J86" s="5">
        <f>SUMIFS(Данные!$D$2:$D$1001,Данные!$B$2:$B$1001,$A86,Данные!$C$2:$C$1001,"2024-05*")</f>
        <v>0</v>
      </c>
      <c r="K86" s="5">
        <f>SUMIFS(Данные!$D$2:$D$1001,Данные!$B$2:$B$1001,$A86,Данные!$C$2:$C$1001,"2024-06*")</f>
        <v>0</v>
      </c>
      <c r="L86" s="5">
        <f>SUMIFS(Данные!$D$2:$D$1001,Данные!$B$2:$B$1001,$A86,Данные!$C$2:$C$1001,"2024-07*")</f>
        <v>0</v>
      </c>
      <c r="M86" s="5">
        <f>SUMIFS(Данные!$D$2:$D$1001,Данные!$B$2:$B$1001,$A86,Данные!$C$2:$C$1001,"2024-08*")</f>
        <v>30122</v>
      </c>
      <c r="N86" s="5">
        <f>SUMIFS(Данные!$D$2:$D$1001,Данные!$B$2:$B$1001,$A86,Данные!$C$2:$C$1001,"2024-09*")</f>
        <v>0</v>
      </c>
      <c r="O86" s="8" t="str">
        <f t="shared" si="8"/>
        <v>B</v>
      </c>
      <c r="P86" s="8" t="str">
        <f t="shared" si="9"/>
        <v>Z</v>
      </c>
      <c r="Q86" s="9">
        <f t="shared" si="10"/>
        <v>177217</v>
      </c>
    </row>
    <row r="87" spans="1:17" ht="14.25" customHeight="1" x14ac:dyDescent="0.25">
      <c r="A87" s="5" t="s">
        <v>126</v>
      </c>
      <c r="B87" s="5">
        <f>SUMIFS(Данные!$D$2:$D$1001,Данные!$B$2:$B$1001,$A87,Данные!$C$2:$C$1001,"2023-09*")</f>
        <v>0</v>
      </c>
      <c r="C87" s="5">
        <f>SUMIFS(Данные!$D$2:$D$1001,Данные!$B$2:$B$1001,$A87,Данные!$C$2:$C$1001,"2023-10*")</f>
        <v>26081</v>
      </c>
      <c r="D87" s="5">
        <f>SUMIFS(Данные!$D$2:$D$1001,Данные!$B$2:$B$1001,$A87,Данные!$C$2:$C$1001,"2023-11*")</f>
        <v>63404</v>
      </c>
      <c r="E87" s="5">
        <f>SUMIFS(Данные!$D$2:$D$1001,Данные!$B$2:$B$1001,$A87,Данные!$C$2:$C$1001,"2023-12*")</f>
        <v>0</v>
      </c>
      <c r="F87" s="5">
        <f>SUMIFS(Данные!$D$2:$D$1001,Данные!$B$2:$B$1001,$A87,Данные!$C$2:$C$1001,"2024-01*")</f>
        <v>17939</v>
      </c>
      <c r="G87" s="5">
        <f>SUMIFS(Данные!$D$2:$D$1001,Данные!$B$2:$B$1001,$A87,Данные!$C$2:$C$1001,"2024-02*")</f>
        <v>23273</v>
      </c>
      <c r="H87" s="5">
        <f>SUMIFS(Данные!$D$2:$D$1001,Данные!$B$2:$B$1001,$A87,Данные!$C$2:$C$1001,"2024-03*")</f>
        <v>26677</v>
      </c>
      <c r="I87" s="5">
        <f>SUMIFS(Данные!$D$2:$D$1001,Данные!$B$2:$B$1001,$A87,Данные!$C$2:$C$1001,"2024-04*")</f>
        <v>0</v>
      </c>
      <c r="J87" s="5">
        <f>SUMIFS(Данные!$D$2:$D$1001,Данные!$B$2:$B$1001,$A87,Данные!$C$2:$C$1001,"2024-05*")</f>
        <v>0</v>
      </c>
      <c r="K87" s="5">
        <f>SUMIFS(Данные!$D$2:$D$1001,Данные!$B$2:$B$1001,$A87,Данные!$C$2:$C$1001,"2024-06*")</f>
        <v>0</v>
      </c>
      <c r="L87" s="5">
        <f>SUMIFS(Данные!$D$2:$D$1001,Данные!$B$2:$B$1001,$A87,Данные!$C$2:$C$1001,"2024-07*")</f>
        <v>0</v>
      </c>
      <c r="M87" s="5">
        <f>SUMIFS(Данные!$D$2:$D$1001,Данные!$B$2:$B$1001,$A87,Данные!$C$2:$C$1001,"2024-08*")</f>
        <v>0</v>
      </c>
      <c r="N87" s="5">
        <f>SUMIFS(Данные!$D$2:$D$1001,Данные!$B$2:$B$1001,$A87,Данные!$C$2:$C$1001,"2024-09*")</f>
        <v>0</v>
      </c>
      <c r="O87" s="8" t="str">
        <f t="shared" si="8"/>
        <v>B</v>
      </c>
      <c r="P87" s="8" t="str">
        <f t="shared" si="9"/>
        <v>Z</v>
      </c>
      <c r="Q87" s="9">
        <f t="shared" si="10"/>
        <v>157374</v>
      </c>
    </row>
    <row r="88" spans="1:17" ht="14.25" customHeight="1" x14ac:dyDescent="0.25">
      <c r="A88" s="5" t="s">
        <v>130</v>
      </c>
      <c r="B88" s="5">
        <f>SUMIFS(Данные!$D$2:$D$1001,Данные!$B$2:$B$1001,$A88,Данные!$C$2:$C$1001,"2023-09*")</f>
        <v>0</v>
      </c>
      <c r="C88" s="5">
        <f>SUMIFS(Данные!$D$2:$D$1001,Данные!$B$2:$B$1001,$A88,Данные!$C$2:$C$1001,"2023-10*")</f>
        <v>42986</v>
      </c>
      <c r="D88" s="5">
        <f>SUMIFS(Данные!$D$2:$D$1001,Данные!$B$2:$B$1001,$A88,Данные!$C$2:$C$1001,"2023-11*")</f>
        <v>60557</v>
      </c>
      <c r="E88" s="5">
        <f>SUMIFS(Данные!$D$2:$D$1001,Данные!$B$2:$B$1001,$A88,Данные!$C$2:$C$1001,"2023-12*")</f>
        <v>0</v>
      </c>
      <c r="F88" s="5">
        <f>SUMIFS(Данные!$D$2:$D$1001,Данные!$B$2:$B$1001,$A88,Данные!$C$2:$C$1001,"2024-01*")</f>
        <v>19803</v>
      </c>
      <c r="G88" s="5">
        <f>SUMIFS(Данные!$D$2:$D$1001,Данные!$B$2:$B$1001,$A88,Данные!$C$2:$C$1001,"2024-02*")</f>
        <v>27031</v>
      </c>
      <c r="H88" s="5">
        <f>SUMIFS(Данные!$D$2:$D$1001,Данные!$B$2:$B$1001,$A88,Данные!$C$2:$C$1001,"2024-03*")</f>
        <v>0</v>
      </c>
      <c r="I88" s="5">
        <f>SUMIFS(Данные!$D$2:$D$1001,Данные!$B$2:$B$1001,$A88,Данные!$C$2:$C$1001,"2024-04*")</f>
        <v>0</v>
      </c>
      <c r="J88" s="5">
        <f>SUMIFS(Данные!$D$2:$D$1001,Данные!$B$2:$B$1001,$A88,Данные!$C$2:$C$1001,"2024-05*")</f>
        <v>0</v>
      </c>
      <c r="K88" s="5">
        <f>SUMIFS(Данные!$D$2:$D$1001,Данные!$B$2:$B$1001,$A88,Данные!$C$2:$C$1001,"2024-06*")</f>
        <v>0</v>
      </c>
      <c r="L88" s="5">
        <f>SUMIFS(Данные!$D$2:$D$1001,Данные!$B$2:$B$1001,$A88,Данные!$C$2:$C$1001,"2024-07*")</f>
        <v>133276</v>
      </c>
      <c r="M88" s="5">
        <f>SUMIFS(Данные!$D$2:$D$1001,Данные!$B$2:$B$1001,$A88,Данные!$C$2:$C$1001,"2024-08*")</f>
        <v>0</v>
      </c>
      <c r="N88" s="5">
        <f>SUMIFS(Данные!$D$2:$D$1001,Данные!$B$2:$B$1001,$A88,Данные!$C$2:$C$1001,"2024-09*")</f>
        <v>0</v>
      </c>
      <c r="O88" s="8" t="str">
        <f t="shared" si="8"/>
        <v>A</v>
      </c>
      <c r="P88" s="8" t="str">
        <f t="shared" si="9"/>
        <v>Z</v>
      </c>
      <c r="Q88" s="9">
        <f t="shared" si="10"/>
        <v>283653</v>
      </c>
    </row>
    <row r="89" spans="1:17" ht="14.25" customHeight="1" x14ac:dyDescent="0.25">
      <c r="A89" s="5" t="s">
        <v>276</v>
      </c>
      <c r="B89" s="5">
        <f>SUMIFS(Данные!$D$2:$D$1001,Данные!$B$2:$B$1001,$A89,Данные!$C$2:$C$1001,"2023-09*")</f>
        <v>0</v>
      </c>
      <c r="C89" s="5">
        <f>SUMIFS(Данные!$D$2:$D$1001,Данные!$B$2:$B$1001,$A89,Данные!$C$2:$C$1001,"2023-10*")</f>
        <v>0</v>
      </c>
      <c r="D89" s="5">
        <f>SUMIFS(Данные!$D$2:$D$1001,Данные!$B$2:$B$1001,$A89,Данные!$C$2:$C$1001,"2023-11*")</f>
        <v>0</v>
      </c>
      <c r="E89" s="5">
        <f>SUMIFS(Данные!$D$2:$D$1001,Данные!$B$2:$B$1001,$A89,Данные!$C$2:$C$1001,"2023-12*")</f>
        <v>0</v>
      </c>
      <c r="F89" s="5">
        <f>SUMIFS(Данные!$D$2:$D$1001,Данные!$B$2:$B$1001,$A89,Данные!$C$2:$C$1001,"2024-01*")</f>
        <v>155998</v>
      </c>
      <c r="G89" s="5">
        <f>SUMIFS(Данные!$D$2:$D$1001,Данные!$B$2:$B$1001,$A89,Данные!$C$2:$C$1001,"2024-02*")</f>
        <v>0</v>
      </c>
      <c r="H89" s="5">
        <f>SUMIFS(Данные!$D$2:$D$1001,Данные!$B$2:$B$1001,$A89,Данные!$C$2:$C$1001,"2024-03*")</f>
        <v>0</v>
      </c>
      <c r="I89" s="5">
        <f>SUMIFS(Данные!$D$2:$D$1001,Данные!$B$2:$B$1001,$A89,Данные!$C$2:$C$1001,"2024-04*")</f>
        <v>0</v>
      </c>
      <c r="J89" s="5">
        <f>SUMIFS(Данные!$D$2:$D$1001,Данные!$B$2:$B$1001,$A89,Данные!$C$2:$C$1001,"2024-05*")</f>
        <v>0</v>
      </c>
      <c r="K89" s="5">
        <f>SUMIFS(Данные!$D$2:$D$1001,Данные!$B$2:$B$1001,$A89,Данные!$C$2:$C$1001,"2024-06*")</f>
        <v>0</v>
      </c>
      <c r="L89" s="5">
        <f>SUMIFS(Данные!$D$2:$D$1001,Данные!$B$2:$B$1001,$A89,Данные!$C$2:$C$1001,"2024-07*")</f>
        <v>17398</v>
      </c>
      <c r="M89" s="5">
        <f>SUMIFS(Данные!$D$2:$D$1001,Данные!$B$2:$B$1001,$A89,Данные!$C$2:$C$1001,"2024-08*")</f>
        <v>0</v>
      </c>
      <c r="N89" s="5">
        <f>SUMIFS(Данные!$D$2:$D$1001,Данные!$B$2:$B$1001,$A89,Данные!$C$2:$C$1001,"2024-09*")</f>
        <v>0</v>
      </c>
      <c r="O89" s="8" t="str">
        <f t="shared" si="8"/>
        <v>B</v>
      </c>
      <c r="P89" s="8" t="str">
        <f t="shared" si="9"/>
        <v>Z</v>
      </c>
      <c r="Q89" s="9">
        <f t="shared" si="10"/>
        <v>173396</v>
      </c>
    </row>
    <row r="90" spans="1:17" ht="14.25" customHeight="1" x14ac:dyDescent="0.25">
      <c r="A90" s="5" t="s">
        <v>87</v>
      </c>
      <c r="B90" s="5">
        <f>SUMIFS(Данные!$D$2:$D$1001,Данные!$B$2:$B$1001,$A90,Данные!$C$2:$C$1001,"2023-09*")</f>
        <v>50387</v>
      </c>
      <c r="C90" s="5">
        <f>SUMIFS(Данные!$D$2:$D$1001,Данные!$B$2:$B$1001,$A90,Данные!$C$2:$C$1001,"2023-10*")</f>
        <v>0</v>
      </c>
      <c r="D90" s="5">
        <f>SUMIFS(Данные!$D$2:$D$1001,Данные!$B$2:$B$1001,$A90,Данные!$C$2:$C$1001,"2023-11*")</f>
        <v>0</v>
      </c>
      <c r="E90" s="5">
        <f>SUMIFS(Данные!$D$2:$D$1001,Данные!$B$2:$B$1001,$A90,Данные!$C$2:$C$1001,"2023-12*")</f>
        <v>0</v>
      </c>
      <c r="F90" s="5">
        <f>SUMIFS(Данные!$D$2:$D$1001,Данные!$B$2:$B$1001,$A90,Данные!$C$2:$C$1001,"2024-01*")</f>
        <v>0</v>
      </c>
      <c r="G90" s="5">
        <f>SUMIFS(Данные!$D$2:$D$1001,Данные!$B$2:$B$1001,$A90,Данные!$C$2:$C$1001,"2024-02*")</f>
        <v>0</v>
      </c>
      <c r="H90" s="5">
        <f>SUMIFS(Данные!$D$2:$D$1001,Данные!$B$2:$B$1001,$A90,Данные!$C$2:$C$1001,"2024-03*")</f>
        <v>0</v>
      </c>
      <c r="I90" s="5">
        <f>SUMIFS(Данные!$D$2:$D$1001,Данные!$B$2:$B$1001,$A90,Данные!$C$2:$C$1001,"2024-04*")</f>
        <v>0</v>
      </c>
      <c r="J90" s="5">
        <f>SUMIFS(Данные!$D$2:$D$1001,Данные!$B$2:$B$1001,$A90,Данные!$C$2:$C$1001,"2024-05*")</f>
        <v>0</v>
      </c>
      <c r="K90" s="5">
        <f>SUMIFS(Данные!$D$2:$D$1001,Данные!$B$2:$B$1001,$A90,Данные!$C$2:$C$1001,"2024-06*")</f>
        <v>83339</v>
      </c>
      <c r="L90" s="5">
        <f>SUMIFS(Данные!$D$2:$D$1001,Данные!$B$2:$B$1001,$A90,Данные!$C$2:$C$1001,"2024-07*")</f>
        <v>0</v>
      </c>
      <c r="M90" s="5">
        <f>SUMIFS(Данные!$D$2:$D$1001,Данные!$B$2:$B$1001,$A90,Данные!$C$2:$C$1001,"2024-08*")</f>
        <v>0</v>
      </c>
      <c r="N90" s="5">
        <f>SUMIFS(Данные!$D$2:$D$1001,Данные!$B$2:$B$1001,$A90,Данные!$C$2:$C$1001,"2024-09*")</f>
        <v>0</v>
      </c>
      <c r="O90" s="8" t="str">
        <f t="shared" si="8"/>
        <v>C</v>
      </c>
      <c r="P90" s="8" t="str">
        <f t="shared" si="9"/>
        <v>Z</v>
      </c>
      <c r="Q90" s="9">
        <f t="shared" si="10"/>
        <v>133726</v>
      </c>
    </row>
    <row r="91" spans="1:17" ht="14.25" customHeight="1" x14ac:dyDescent="0.25">
      <c r="A91" s="5" t="s">
        <v>14</v>
      </c>
      <c r="B91" s="5">
        <f>SUMIFS(Данные!$D$2:$D$1001,Данные!$B$2:$B$1001,$A91,Данные!$C$2:$C$1001,"2023-09*")</f>
        <v>51467</v>
      </c>
      <c r="C91" s="5">
        <f>SUMIFS(Данные!$D$2:$D$1001,Данные!$B$2:$B$1001,$A91,Данные!$C$2:$C$1001,"2023-10*")</f>
        <v>0</v>
      </c>
      <c r="D91" s="5">
        <f>SUMIFS(Данные!$D$2:$D$1001,Данные!$B$2:$B$1001,$A91,Данные!$C$2:$C$1001,"2023-11*")</f>
        <v>87836</v>
      </c>
      <c r="E91" s="5">
        <f>SUMIFS(Данные!$D$2:$D$1001,Данные!$B$2:$B$1001,$A91,Данные!$C$2:$C$1001,"2023-12*")</f>
        <v>50767</v>
      </c>
      <c r="F91" s="5">
        <f>SUMIFS(Данные!$D$2:$D$1001,Данные!$B$2:$B$1001,$A91,Данные!$C$2:$C$1001,"2024-01*")</f>
        <v>0</v>
      </c>
      <c r="G91" s="5">
        <f>SUMIFS(Данные!$D$2:$D$1001,Данные!$B$2:$B$1001,$A91,Данные!$C$2:$C$1001,"2024-02*")</f>
        <v>0</v>
      </c>
      <c r="H91" s="5">
        <f>SUMIFS(Данные!$D$2:$D$1001,Данные!$B$2:$B$1001,$A91,Данные!$C$2:$C$1001,"2024-03*")</f>
        <v>0</v>
      </c>
      <c r="I91" s="5">
        <f>SUMIFS(Данные!$D$2:$D$1001,Данные!$B$2:$B$1001,$A91,Данные!$C$2:$C$1001,"2024-04*")</f>
        <v>0</v>
      </c>
      <c r="J91" s="5">
        <f>SUMIFS(Данные!$D$2:$D$1001,Данные!$B$2:$B$1001,$A91,Данные!$C$2:$C$1001,"2024-05*")</f>
        <v>0</v>
      </c>
      <c r="K91" s="5">
        <f>SUMIFS(Данные!$D$2:$D$1001,Данные!$B$2:$B$1001,$A91,Данные!$C$2:$C$1001,"2024-06*")</f>
        <v>0</v>
      </c>
      <c r="L91" s="5">
        <f>SUMIFS(Данные!$D$2:$D$1001,Данные!$B$2:$B$1001,$A91,Данные!$C$2:$C$1001,"2024-07*")</f>
        <v>52428</v>
      </c>
      <c r="M91" s="5">
        <f>SUMIFS(Данные!$D$2:$D$1001,Данные!$B$2:$B$1001,$A91,Данные!$C$2:$C$1001,"2024-08*")</f>
        <v>0</v>
      </c>
      <c r="N91" s="5">
        <f>SUMIFS(Данные!$D$2:$D$1001,Данные!$B$2:$B$1001,$A91,Данные!$C$2:$C$1001,"2024-09*")</f>
        <v>0</v>
      </c>
      <c r="O91" s="8" t="str">
        <f t="shared" si="8"/>
        <v>A</v>
      </c>
      <c r="P91" s="8" t="str">
        <f t="shared" si="9"/>
        <v>Z</v>
      </c>
      <c r="Q91" s="9">
        <f t="shared" si="10"/>
        <v>242498</v>
      </c>
    </row>
    <row r="92" spans="1:17" ht="14.25" customHeight="1" x14ac:dyDescent="0.25">
      <c r="A92" s="5" t="s">
        <v>125</v>
      </c>
      <c r="B92" s="5">
        <f>SUMIFS(Данные!$D$2:$D$1001,Данные!$B$2:$B$1001,$A92,Данные!$C$2:$C$1001,"2023-09*")</f>
        <v>0</v>
      </c>
      <c r="C92" s="5">
        <f>SUMIFS(Данные!$D$2:$D$1001,Данные!$B$2:$B$1001,$A92,Данные!$C$2:$C$1001,"2023-10*")</f>
        <v>96359</v>
      </c>
      <c r="D92" s="5">
        <f>SUMIFS(Данные!$D$2:$D$1001,Данные!$B$2:$B$1001,$A92,Данные!$C$2:$C$1001,"2023-11*")</f>
        <v>0</v>
      </c>
      <c r="E92" s="5">
        <f>SUMIFS(Данные!$D$2:$D$1001,Данные!$B$2:$B$1001,$A92,Данные!$C$2:$C$1001,"2023-12*")</f>
        <v>11132</v>
      </c>
      <c r="F92" s="5">
        <f>SUMIFS(Данные!$D$2:$D$1001,Данные!$B$2:$B$1001,$A92,Данные!$C$2:$C$1001,"2024-01*")</f>
        <v>149563</v>
      </c>
      <c r="G92" s="5">
        <f>SUMIFS(Данные!$D$2:$D$1001,Данные!$B$2:$B$1001,$A92,Данные!$C$2:$C$1001,"2024-02*")</f>
        <v>0</v>
      </c>
      <c r="H92" s="5">
        <f>SUMIFS(Данные!$D$2:$D$1001,Данные!$B$2:$B$1001,$A92,Данные!$C$2:$C$1001,"2024-03*")</f>
        <v>27987</v>
      </c>
      <c r="I92" s="5">
        <f>SUMIFS(Данные!$D$2:$D$1001,Данные!$B$2:$B$1001,$A92,Данные!$C$2:$C$1001,"2024-04*")</f>
        <v>0</v>
      </c>
      <c r="J92" s="5">
        <f>SUMIFS(Данные!$D$2:$D$1001,Данные!$B$2:$B$1001,$A92,Данные!$C$2:$C$1001,"2024-05*")</f>
        <v>0</v>
      </c>
      <c r="K92" s="5">
        <f>SUMIFS(Данные!$D$2:$D$1001,Данные!$B$2:$B$1001,$A92,Данные!$C$2:$C$1001,"2024-06*")</f>
        <v>0</v>
      </c>
      <c r="L92" s="5">
        <f>SUMIFS(Данные!$D$2:$D$1001,Данные!$B$2:$B$1001,$A92,Данные!$C$2:$C$1001,"2024-07*")</f>
        <v>37067</v>
      </c>
      <c r="M92" s="5">
        <f>SUMIFS(Данные!$D$2:$D$1001,Данные!$B$2:$B$1001,$A92,Данные!$C$2:$C$1001,"2024-08*")</f>
        <v>0</v>
      </c>
      <c r="N92" s="5">
        <f>SUMIFS(Данные!$D$2:$D$1001,Данные!$B$2:$B$1001,$A92,Данные!$C$2:$C$1001,"2024-09*")</f>
        <v>0</v>
      </c>
      <c r="O92" s="8" t="str">
        <f t="shared" si="8"/>
        <v>A</v>
      </c>
      <c r="P92" s="8" t="str">
        <f t="shared" si="9"/>
        <v>Z</v>
      </c>
      <c r="Q92" s="9">
        <f t="shared" si="10"/>
        <v>322108</v>
      </c>
    </row>
    <row r="93" spans="1:17" ht="14.25" customHeight="1" x14ac:dyDescent="0.25">
      <c r="A93" s="5" t="s">
        <v>6</v>
      </c>
      <c r="B93" s="5">
        <f>SUMIFS(Данные!$D$2:$D$1001,Данные!$B$2:$B$1001,$A93,Данные!$C$2:$C$1001,"2023-09*")</f>
        <v>91603</v>
      </c>
      <c r="C93" s="5">
        <f>SUMIFS(Данные!$D$2:$D$1001,Данные!$B$2:$B$1001,$A93,Данные!$C$2:$C$1001,"2023-10*")</f>
        <v>117322</v>
      </c>
      <c r="D93" s="5">
        <f>SUMIFS(Данные!$D$2:$D$1001,Данные!$B$2:$B$1001,$A93,Данные!$C$2:$C$1001,"2023-11*")</f>
        <v>80592</v>
      </c>
      <c r="E93" s="5">
        <f>SUMIFS(Данные!$D$2:$D$1001,Данные!$B$2:$B$1001,$A93,Данные!$C$2:$C$1001,"2023-12*")</f>
        <v>38393</v>
      </c>
      <c r="F93" s="5">
        <f>SUMIFS(Данные!$D$2:$D$1001,Данные!$B$2:$B$1001,$A93,Данные!$C$2:$C$1001,"2024-01*")</f>
        <v>0</v>
      </c>
      <c r="G93" s="5">
        <f>SUMIFS(Данные!$D$2:$D$1001,Данные!$B$2:$B$1001,$A93,Данные!$C$2:$C$1001,"2024-02*")</f>
        <v>61847</v>
      </c>
      <c r="H93" s="5">
        <f>SUMIFS(Данные!$D$2:$D$1001,Данные!$B$2:$B$1001,$A93,Данные!$C$2:$C$1001,"2024-03*")</f>
        <v>134388</v>
      </c>
      <c r="I93" s="5">
        <f>SUMIFS(Данные!$D$2:$D$1001,Данные!$B$2:$B$1001,$A93,Данные!$C$2:$C$1001,"2024-04*")</f>
        <v>87918</v>
      </c>
      <c r="J93" s="5">
        <f>SUMIFS(Данные!$D$2:$D$1001,Данные!$B$2:$B$1001,$A93,Данные!$C$2:$C$1001,"2024-05*")</f>
        <v>0</v>
      </c>
      <c r="K93" s="5">
        <f>SUMIFS(Данные!$D$2:$D$1001,Данные!$B$2:$B$1001,$A93,Данные!$C$2:$C$1001,"2024-06*")</f>
        <v>0</v>
      </c>
      <c r="L93" s="5">
        <f>SUMIFS(Данные!$D$2:$D$1001,Данные!$B$2:$B$1001,$A93,Данные!$C$2:$C$1001,"2024-07*")</f>
        <v>75726</v>
      </c>
      <c r="M93" s="5">
        <f>SUMIFS(Данные!$D$2:$D$1001,Данные!$B$2:$B$1001,$A93,Данные!$C$2:$C$1001,"2024-08*")</f>
        <v>0</v>
      </c>
      <c r="N93" s="5">
        <f>SUMIFS(Данные!$D$2:$D$1001,Данные!$B$2:$B$1001,$A93,Данные!$C$2:$C$1001,"2024-09*")</f>
        <v>0</v>
      </c>
      <c r="O93" s="8" t="str">
        <f t="shared" si="8"/>
        <v>A</v>
      </c>
      <c r="P93" s="8" t="str">
        <f t="shared" si="9"/>
        <v>Z</v>
      </c>
      <c r="Q93" s="9">
        <f t="shared" si="10"/>
        <v>687789</v>
      </c>
    </row>
    <row r="94" spans="1:17" ht="14.25" customHeight="1" x14ac:dyDescent="0.25">
      <c r="A94" s="5" t="s">
        <v>151</v>
      </c>
      <c r="B94" s="5">
        <f>SUMIFS(Данные!$D$2:$D$1001,Данные!$B$2:$B$1001,$A94,Данные!$C$2:$C$1001,"2023-09*")</f>
        <v>0</v>
      </c>
      <c r="C94" s="5">
        <f>SUMIFS(Данные!$D$2:$D$1001,Данные!$B$2:$B$1001,$A94,Данные!$C$2:$C$1001,"2023-10*")</f>
        <v>52717</v>
      </c>
      <c r="D94" s="5">
        <f>SUMIFS(Данные!$D$2:$D$1001,Данные!$B$2:$B$1001,$A94,Данные!$C$2:$C$1001,"2023-11*")</f>
        <v>0</v>
      </c>
      <c r="E94" s="5">
        <f>SUMIFS(Данные!$D$2:$D$1001,Данные!$B$2:$B$1001,$A94,Данные!$C$2:$C$1001,"2023-12*")</f>
        <v>146036</v>
      </c>
      <c r="F94" s="5">
        <f>SUMIFS(Данные!$D$2:$D$1001,Данные!$B$2:$B$1001,$A94,Данные!$C$2:$C$1001,"2024-01*")</f>
        <v>0</v>
      </c>
      <c r="G94" s="5">
        <f>SUMIFS(Данные!$D$2:$D$1001,Данные!$B$2:$B$1001,$A94,Данные!$C$2:$C$1001,"2024-02*")</f>
        <v>78409</v>
      </c>
      <c r="H94" s="5">
        <f>SUMIFS(Данные!$D$2:$D$1001,Данные!$B$2:$B$1001,$A94,Данные!$C$2:$C$1001,"2024-03*")</f>
        <v>19764</v>
      </c>
      <c r="I94" s="5">
        <f>SUMIFS(Данные!$D$2:$D$1001,Данные!$B$2:$B$1001,$A94,Данные!$C$2:$C$1001,"2024-04*")</f>
        <v>43722</v>
      </c>
      <c r="J94" s="5">
        <f>SUMIFS(Данные!$D$2:$D$1001,Данные!$B$2:$B$1001,$A94,Данные!$C$2:$C$1001,"2024-05*")</f>
        <v>0</v>
      </c>
      <c r="K94" s="5">
        <f>SUMIFS(Данные!$D$2:$D$1001,Данные!$B$2:$B$1001,$A94,Данные!$C$2:$C$1001,"2024-06*")</f>
        <v>0</v>
      </c>
      <c r="L94" s="5">
        <f>SUMIFS(Данные!$D$2:$D$1001,Данные!$B$2:$B$1001,$A94,Данные!$C$2:$C$1001,"2024-07*")</f>
        <v>0</v>
      </c>
      <c r="M94" s="5">
        <f>SUMIFS(Данные!$D$2:$D$1001,Данные!$B$2:$B$1001,$A94,Данные!$C$2:$C$1001,"2024-08*")</f>
        <v>0</v>
      </c>
      <c r="N94" s="5">
        <f>SUMIFS(Данные!$D$2:$D$1001,Данные!$B$2:$B$1001,$A94,Данные!$C$2:$C$1001,"2024-09*")</f>
        <v>0</v>
      </c>
      <c r="O94" s="8" t="str">
        <f t="shared" si="8"/>
        <v>A</v>
      </c>
      <c r="P94" s="8" t="str">
        <f t="shared" si="9"/>
        <v>Z</v>
      </c>
      <c r="Q94" s="9">
        <f t="shared" si="10"/>
        <v>340648</v>
      </c>
    </row>
    <row r="95" spans="1:17" ht="14.25" customHeight="1" x14ac:dyDescent="0.25">
      <c r="A95" s="5" t="s">
        <v>213</v>
      </c>
      <c r="B95" s="5">
        <f>SUMIFS(Данные!$D$2:$D$1001,Данные!$B$2:$B$1001,$A95,Данные!$C$2:$C$1001,"2023-09*")</f>
        <v>0</v>
      </c>
      <c r="C95" s="5">
        <f>SUMIFS(Данные!$D$2:$D$1001,Данные!$B$2:$B$1001,$A95,Данные!$C$2:$C$1001,"2023-10*")</f>
        <v>0</v>
      </c>
      <c r="D95" s="5">
        <f>SUMIFS(Данные!$D$2:$D$1001,Данные!$B$2:$B$1001,$A95,Данные!$C$2:$C$1001,"2023-11*")</f>
        <v>83999</v>
      </c>
      <c r="E95" s="5">
        <f>SUMIFS(Данные!$D$2:$D$1001,Данные!$B$2:$B$1001,$A95,Данные!$C$2:$C$1001,"2023-12*")</f>
        <v>0</v>
      </c>
      <c r="F95" s="5">
        <f>SUMIFS(Данные!$D$2:$D$1001,Данные!$B$2:$B$1001,$A95,Данные!$C$2:$C$1001,"2024-01*")</f>
        <v>0</v>
      </c>
      <c r="G95" s="5">
        <f>SUMIFS(Данные!$D$2:$D$1001,Данные!$B$2:$B$1001,$A95,Данные!$C$2:$C$1001,"2024-02*")</f>
        <v>0</v>
      </c>
      <c r="H95" s="5">
        <f>SUMIFS(Данные!$D$2:$D$1001,Данные!$B$2:$B$1001,$A95,Данные!$C$2:$C$1001,"2024-03*")</f>
        <v>59277</v>
      </c>
      <c r="I95" s="5">
        <f>SUMIFS(Данные!$D$2:$D$1001,Данные!$B$2:$B$1001,$A95,Данные!$C$2:$C$1001,"2024-04*")</f>
        <v>22241</v>
      </c>
      <c r="J95" s="5">
        <f>SUMIFS(Данные!$D$2:$D$1001,Данные!$B$2:$B$1001,$A95,Данные!$C$2:$C$1001,"2024-05*")</f>
        <v>35737</v>
      </c>
      <c r="K95" s="5">
        <f>SUMIFS(Данные!$D$2:$D$1001,Данные!$B$2:$B$1001,$A95,Данные!$C$2:$C$1001,"2024-06*")</f>
        <v>86489</v>
      </c>
      <c r="L95" s="5">
        <f>SUMIFS(Данные!$D$2:$D$1001,Данные!$B$2:$B$1001,$A95,Данные!$C$2:$C$1001,"2024-07*")</f>
        <v>0</v>
      </c>
      <c r="M95" s="5">
        <f>SUMIFS(Данные!$D$2:$D$1001,Данные!$B$2:$B$1001,$A95,Данные!$C$2:$C$1001,"2024-08*")</f>
        <v>37873</v>
      </c>
      <c r="N95" s="5">
        <f>SUMIFS(Данные!$D$2:$D$1001,Данные!$B$2:$B$1001,$A95,Данные!$C$2:$C$1001,"2024-09*")</f>
        <v>0</v>
      </c>
      <c r="O95" s="8" t="str">
        <f t="shared" si="8"/>
        <v>A</v>
      </c>
      <c r="P95" s="8" t="str">
        <f t="shared" si="9"/>
        <v>Z</v>
      </c>
      <c r="Q95" s="9">
        <f t="shared" si="10"/>
        <v>325616</v>
      </c>
    </row>
    <row r="96" spans="1:17" ht="14.25" customHeight="1" x14ac:dyDescent="0.25">
      <c r="A96" s="5" t="s">
        <v>215</v>
      </c>
      <c r="B96" s="5">
        <f>SUMIFS(Данные!$D$2:$D$1001,Данные!$B$2:$B$1001,$A96,Данные!$C$2:$C$1001,"2023-09*")</f>
        <v>0</v>
      </c>
      <c r="C96" s="5">
        <f>SUMIFS(Данные!$D$2:$D$1001,Данные!$B$2:$B$1001,$A96,Данные!$C$2:$C$1001,"2023-10*")</f>
        <v>0</v>
      </c>
      <c r="D96" s="5">
        <f>SUMIFS(Данные!$D$2:$D$1001,Данные!$B$2:$B$1001,$A96,Данные!$C$2:$C$1001,"2023-11*")</f>
        <v>79700</v>
      </c>
      <c r="E96" s="5">
        <f>SUMIFS(Данные!$D$2:$D$1001,Данные!$B$2:$B$1001,$A96,Данные!$C$2:$C$1001,"2023-12*")</f>
        <v>0</v>
      </c>
      <c r="F96" s="5">
        <f>SUMIFS(Данные!$D$2:$D$1001,Данные!$B$2:$B$1001,$A96,Данные!$C$2:$C$1001,"2024-01*")</f>
        <v>108444</v>
      </c>
      <c r="G96" s="5">
        <f>SUMIFS(Данные!$D$2:$D$1001,Данные!$B$2:$B$1001,$A96,Данные!$C$2:$C$1001,"2024-02*")</f>
        <v>0</v>
      </c>
      <c r="H96" s="5">
        <f>SUMIFS(Данные!$D$2:$D$1001,Данные!$B$2:$B$1001,$A96,Данные!$C$2:$C$1001,"2024-03*")</f>
        <v>0</v>
      </c>
      <c r="I96" s="5">
        <f>SUMIFS(Данные!$D$2:$D$1001,Данные!$B$2:$B$1001,$A96,Данные!$C$2:$C$1001,"2024-04*")</f>
        <v>0</v>
      </c>
      <c r="J96" s="5">
        <f>SUMIFS(Данные!$D$2:$D$1001,Данные!$B$2:$B$1001,$A96,Данные!$C$2:$C$1001,"2024-05*")</f>
        <v>0</v>
      </c>
      <c r="K96" s="5">
        <f>SUMIFS(Данные!$D$2:$D$1001,Данные!$B$2:$B$1001,$A96,Данные!$C$2:$C$1001,"2024-06*")</f>
        <v>91313</v>
      </c>
      <c r="L96" s="5">
        <f>SUMIFS(Данные!$D$2:$D$1001,Данные!$B$2:$B$1001,$A96,Данные!$C$2:$C$1001,"2024-07*")</f>
        <v>0</v>
      </c>
      <c r="M96" s="5">
        <f>SUMIFS(Данные!$D$2:$D$1001,Данные!$B$2:$B$1001,$A96,Данные!$C$2:$C$1001,"2024-08*")</f>
        <v>0</v>
      </c>
      <c r="N96" s="5">
        <f>SUMIFS(Данные!$D$2:$D$1001,Данные!$B$2:$B$1001,$A96,Данные!$C$2:$C$1001,"2024-09*")</f>
        <v>0</v>
      </c>
      <c r="O96" s="8" t="str">
        <f t="shared" si="8"/>
        <v>A</v>
      </c>
      <c r="P96" s="8" t="str">
        <f t="shared" si="9"/>
        <v>Z</v>
      </c>
      <c r="Q96" s="9">
        <f t="shared" si="10"/>
        <v>279457</v>
      </c>
    </row>
    <row r="97" spans="1:17" ht="14.25" customHeight="1" x14ac:dyDescent="0.25">
      <c r="A97" s="5" t="s">
        <v>161</v>
      </c>
      <c r="B97" s="5">
        <f>SUMIFS(Данные!$D$2:$D$1001,Данные!$B$2:$B$1001,$A97,Данные!$C$2:$C$1001,"2023-09*")</f>
        <v>0</v>
      </c>
      <c r="C97" s="5">
        <f>SUMIFS(Данные!$D$2:$D$1001,Данные!$B$2:$B$1001,$A97,Данные!$C$2:$C$1001,"2023-10*")</f>
        <v>10468</v>
      </c>
      <c r="D97" s="5">
        <f>SUMIFS(Данные!$D$2:$D$1001,Данные!$B$2:$B$1001,$A97,Данные!$C$2:$C$1001,"2023-11*")</f>
        <v>0</v>
      </c>
      <c r="E97" s="5">
        <f>SUMIFS(Данные!$D$2:$D$1001,Данные!$B$2:$B$1001,$A97,Данные!$C$2:$C$1001,"2023-12*")</f>
        <v>0</v>
      </c>
      <c r="F97" s="5">
        <f>SUMIFS(Данные!$D$2:$D$1001,Данные!$B$2:$B$1001,$A97,Данные!$C$2:$C$1001,"2024-01*")</f>
        <v>69151</v>
      </c>
      <c r="G97" s="5">
        <f>SUMIFS(Данные!$D$2:$D$1001,Данные!$B$2:$B$1001,$A97,Данные!$C$2:$C$1001,"2024-02*")</f>
        <v>0</v>
      </c>
      <c r="H97" s="5">
        <f>SUMIFS(Данные!$D$2:$D$1001,Данные!$B$2:$B$1001,$A97,Данные!$C$2:$C$1001,"2024-03*")</f>
        <v>0</v>
      </c>
      <c r="I97" s="5">
        <f>SUMIFS(Данные!$D$2:$D$1001,Данные!$B$2:$B$1001,$A97,Данные!$C$2:$C$1001,"2024-04*")</f>
        <v>0</v>
      </c>
      <c r="J97" s="5">
        <f>SUMIFS(Данные!$D$2:$D$1001,Данные!$B$2:$B$1001,$A97,Данные!$C$2:$C$1001,"2024-05*")</f>
        <v>0</v>
      </c>
      <c r="K97" s="5">
        <f>SUMIFS(Данные!$D$2:$D$1001,Данные!$B$2:$B$1001,$A97,Данные!$C$2:$C$1001,"2024-06*")</f>
        <v>0</v>
      </c>
      <c r="L97" s="5">
        <f>SUMIFS(Данные!$D$2:$D$1001,Данные!$B$2:$B$1001,$A97,Данные!$C$2:$C$1001,"2024-07*")</f>
        <v>0</v>
      </c>
      <c r="M97" s="5">
        <f>SUMIFS(Данные!$D$2:$D$1001,Данные!$B$2:$B$1001,$A97,Данные!$C$2:$C$1001,"2024-08*")</f>
        <v>0</v>
      </c>
      <c r="N97" s="5">
        <f>SUMIFS(Данные!$D$2:$D$1001,Данные!$B$2:$B$1001,$A97,Данные!$C$2:$C$1001,"2024-09*")</f>
        <v>0</v>
      </c>
      <c r="O97" s="8" t="str">
        <f t="shared" si="8"/>
        <v>C</v>
      </c>
      <c r="P97" s="8" t="str">
        <f t="shared" si="9"/>
        <v>Z</v>
      </c>
      <c r="Q97" s="9">
        <f t="shared" si="10"/>
        <v>79619</v>
      </c>
    </row>
    <row r="98" spans="1:17" ht="14.25" customHeight="1" x14ac:dyDescent="0.25">
      <c r="A98" s="5" t="s">
        <v>21</v>
      </c>
      <c r="B98" s="5">
        <f>SUMIFS(Данные!$D$2:$D$1001,Данные!$B$2:$B$1001,$A98,Данные!$C$2:$C$1001,"2023-09*")</f>
        <v>151247</v>
      </c>
      <c r="C98" s="5">
        <f>SUMIFS(Данные!$D$2:$D$1001,Данные!$B$2:$B$1001,$A98,Данные!$C$2:$C$1001,"2023-10*")</f>
        <v>15679</v>
      </c>
      <c r="D98" s="5">
        <f>SUMIFS(Данные!$D$2:$D$1001,Данные!$B$2:$B$1001,$A98,Данные!$C$2:$C$1001,"2023-11*")</f>
        <v>0</v>
      </c>
      <c r="E98" s="5">
        <f>SUMIFS(Данные!$D$2:$D$1001,Данные!$B$2:$B$1001,$A98,Данные!$C$2:$C$1001,"2023-12*")</f>
        <v>30818</v>
      </c>
      <c r="F98" s="5">
        <f>SUMIFS(Данные!$D$2:$D$1001,Данные!$B$2:$B$1001,$A98,Данные!$C$2:$C$1001,"2024-01*")</f>
        <v>0</v>
      </c>
      <c r="G98" s="5">
        <f>SUMIFS(Данные!$D$2:$D$1001,Данные!$B$2:$B$1001,$A98,Данные!$C$2:$C$1001,"2024-02*")</f>
        <v>0</v>
      </c>
      <c r="H98" s="5">
        <f>SUMIFS(Данные!$D$2:$D$1001,Данные!$B$2:$B$1001,$A98,Данные!$C$2:$C$1001,"2024-03*")</f>
        <v>0</v>
      </c>
      <c r="I98" s="5">
        <f>SUMIFS(Данные!$D$2:$D$1001,Данные!$B$2:$B$1001,$A98,Данные!$C$2:$C$1001,"2024-04*")</f>
        <v>95826</v>
      </c>
      <c r="J98" s="5">
        <f>SUMIFS(Данные!$D$2:$D$1001,Данные!$B$2:$B$1001,$A98,Данные!$C$2:$C$1001,"2024-05*")</f>
        <v>0</v>
      </c>
      <c r="K98" s="5">
        <f>SUMIFS(Данные!$D$2:$D$1001,Данные!$B$2:$B$1001,$A98,Данные!$C$2:$C$1001,"2024-06*")</f>
        <v>0</v>
      </c>
      <c r="L98" s="5">
        <f>SUMIFS(Данные!$D$2:$D$1001,Данные!$B$2:$B$1001,$A98,Данные!$C$2:$C$1001,"2024-07*")</f>
        <v>0</v>
      </c>
      <c r="M98" s="5">
        <f>SUMIFS(Данные!$D$2:$D$1001,Данные!$B$2:$B$1001,$A98,Данные!$C$2:$C$1001,"2024-08*")</f>
        <v>79637</v>
      </c>
      <c r="N98" s="5">
        <f>SUMIFS(Данные!$D$2:$D$1001,Данные!$B$2:$B$1001,$A98,Данные!$C$2:$C$1001,"2024-09*")</f>
        <v>0</v>
      </c>
      <c r="O98" s="8" t="str">
        <f t="shared" ref="O98:O129" si="11">IF(SUMPRODUCT(($Q$2:$Q$198&gt;=Q98)*$Q$2:$Q$198)/SUM($Q$2:$Q$198)&lt;=80%,"A",IF(SUMPRODUCT(($Q$2:$Q$198&gt;=Q98)*$Q$2:$Q$198)/SUM($Q$2:$Q$198)&lt;=95%,"B","C"))</f>
        <v>A</v>
      </c>
      <c r="P98" s="8" t="str">
        <f t="shared" ref="P98:P129" si="12">IFERROR(IF(SQRT(SUMPRODUCT((B98:N98-AVERAGE(B98:N98))^2)/(COUNT(B98:N98)-1))/AVERAGE(B98:N98)&lt;=10%,"X",IF(SQRT(SUMPRODUCT((B98:N98-AVERAGE(B98:N98))^2)/(COUNT(B98:N98)-1))/AVERAGE(B98:N98)&lt;=25%,"Y","Z")),"Z")</f>
        <v>Z</v>
      </c>
      <c r="Q98" s="9">
        <f t="shared" ref="Q98:Q129" si="13">SUM(B98:N98)</f>
        <v>373207</v>
      </c>
    </row>
    <row r="99" spans="1:17" ht="14.25" customHeight="1" x14ac:dyDescent="0.25">
      <c r="A99" s="5" t="s">
        <v>109</v>
      </c>
      <c r="B99" s="5">
        <f>SUMIFS(Данные!$D$2:$D$1001,Данные!$B$2:$B$1001,$A99,Данные!$C$2:$C$1001,"2023-09*")</f>
        <v>0</v>
      </c>
      <c r="C99" s="5">
        <f>SUMIFS(Данные!$D$2:$D$1001,Данные!$B$2:$B$1001,$A99,Данные!$C$2:$C$1001,"2023-10*")</f>
        <v>33612</v>
      </c>
      <c r="D99" s="5">
        <f>SUMIFS(Данные!$D$2:$D$1001,Данные!$B$2:$B$1001,$A99,Данные!$C$2:$C$1001,"2023-11*")</f>
        <v>59679</v>
      </c>
      <c r="E99" s="5">
        <f>SUMIFS(Данные!$D$2:$D$1001,Данные!$B$2:$B$1001,$A99,Данные!$C$2:$C$1001,"2023-12*")</f>
        <v>37455</v>
      </c>
      <c r="F99" s="5">
        <f>SUMIFS(Данные!$D$2:$D$1001,Данные!$B$2:$B$1001,$A99,Данные!$C$2:$C$1001,"2024-01*")</f>
        <v>0</v>
      </c>
      <c r="G99" s="5">
        <f>SUMIFS(Данные!$D$2:$D$1001,Данные!$B$2:$B$1001,$A99,Данные!$C$2:$C$1001,"2024-02*")</f>
        <v>0</v>
      </c>
      <c r="H99" s="5">
        <f>SUMIFS(Данные!$D$2:$D$1001,Данные!$B$2:$B$1001,$A99,Данные!$C$2:$C$1001,"2024-03*")</f>
        <v>32609</v>
      </c>
      <c r="I99" s="5">
        <f>SUMIFS(Данные!$D$2:$D$1001,Данные!$B$2:$B$1001,$A99,Данные!$C$2:$C$1001,"2024-04*")</f>
        <v>64786</v>
      </c>
      <c r="J99" s="5">
        <f>SUMIFS(Данные!$D$2:$D$1001,Данные!$B$2:$B$1001,$A99,Данные!$C$2:$C$1001,"2024-05*")</f>
        <v>0</v>
      </c>
      <c r="K99" s="5">
        <f>SUMIFS(Данные!$D$2:$D$1001,Данные!$B$2:$B$1001,$A99,Данные!$C$2:$C$1001,"2024-06*")</f>
        <v>0</v>
      </c>
      <c r="L99" s="5">
        <f>SUMIFS(Данные!$D$2:$D$1001,Данные!$B$2:$B$1001,$A99,Данные!$C$2:$C$1001,"2024-07*")</f>
        <v>42942</v>
      </c>
      <c r="M99" s="5">
        <f>SUMIFS(Данные!$D$2:$D$1001,Данные!$B$2:$B$1001,$A99,Данные!$C$2:$C$1001,"2024-08*")</f>
        <v>52691</v>
      </c>
      <c r="N99" s="5">
        <f>SUMIFS(Данные!$D$2:$D$1001,Данные!$B$2:$B$1001,$A99,Данные!$C$2:$C$1001,"2024-09*")</f>
        <v>0</v>
      </c>
      <c r="O99" s="8" t="str">
        <f t="shared" si="11"/>
        <v>A</v>
      </c>
      <c r="P99" s="8" t="str">
        <f t="shared" si="12"/>
        <v>Z</v>
      </c>
      <c r="Q99" s="9">
        <f t="shared" si="13"/>
        <v>323774</v>
      </c>
    </row>
    <row r="100" spans="1:17" ht="14.25" customHeight="1" x14ac:dyDescent="0.25">
      <c r="A100" s="5" t="s">
        <v>288</v>
      </c>
      <c r="B100" s="5">
        <f>SUMIFS(Данные!$D$2:$D$1001,Данные!$B$2:$B$1001,$A100,Данные!$C$2:$C$1001,"2023-09*")</f>
        <v>0</v>
      </c>
      <c r="C100" s="5">
        <f>SUMIFS(Данные!$D$2:$D$1001,Данные!$B$2:$B$1001,$A100,Данные!$C$2:$C$1001,"2023-10*")</f>
        <v>0</v>
      </c>
      <c r="D100" s="5">
        <f>SUMIFS(Данные!$D$2:$D$1001,Данные!$B$2:$B$1001,$A100,Данные!$C$2:$C$1001,"2023-11*")</f>
        <v>0</v>
      </c>
      <c r="E100" s="5">
        <f>SUMIFS(Данные!$D$2:$D$1001,Данные!$B$2:$B$1001,$A100,Данные!$C$2:$C$1001,"2023-12*")</f>
        <v>0</v>
      </c>
      <c r="F100" s="5">
        <f>SUMIFS(Данные!$D$2:$D$1001,Данные!$B$2:$B$1001,$A100,Данные!$C$2:$C$1001,"2024-01*")</f>
        <v>78414</v>
      </c>
      <c r="G100" s="5">
        <f>SUMIFS(Данные!$D$2:$D$1001,Данные!$B$2:$B$1001,$A100,Данные!$C$2:$C$1001,"2024-02*")</f>
        <v>0</v>
      </c>
      <c r="H100" s="5">
        <f>SUMIFS(Данные!$D$2:$D$1001,Данные!$B$2:$B$1001,$A100,Данные!$C$2:$C$1001,"2024-03*")</f>
        <v>0</v>
      </c>
      <c r="I100" s="5">
        <f>SUMIFS(Данные!$D$2:$D$1001,Данные!$B$2:$B$1001,$A100,Данные!$C$2:$C$1001,"2024-04*")</f>
        <v>0</v>
      </c>
      <c r="J100" s="5">
        <f>SUMIFS(Данные!$D$2:$D$1001,Данные!$B$2:$B$1001,$A100,Данные!$C$2:$C$1001,"2024-05*")</f>
        <v>0</v>
      </c>
      <c r="K100" s="5">
        <f>SUMIFS(Данные!$D$2:$D$1001,Данные!$B$2:$B$1001,$A100,Данные!$C$2:$C$1001,"2024-06*")</f>
        <v>131404</v>
      </c>
      <c r="L100" s="5">
        <f>SUMIFS(Данные!$D$2:$D$1001,Данные!$B$2:$B$1001,$A100,Данные!$C$2:$C$1001,"2024-07*")</f>
        <v>52727</v>
      </c>
      <c r="M100" s="5">
        <f>SUMIFS(Данные!$D$2:$D$1001,Данные!$B$2:$B$1001,$A100,Данные!$C$2:$C$1001,"2024-08*")</f>
        <v>0</v>
      </c>
      <c r="N100" s="5">
        <f>SUMIFS(Данные!$D$2:$D$1001,Данные!$B$2:$B$1001,$A100,Данные!$C$2:$C$1001,"2024-09*")</f>
        <v>0</v>
      </c>
      <c r="O100" s="8" t="str">
        <f t="shared" si="11"/>
        <v>A</v>
      </c>
      <c r="P100" s="8" t="str">
        <f t="shared" si="12"/>
        <v>Z</v>
      </c>
      <c r="Q100" s="9">
        <f t="shared" si="13"/>
        <v>262545</v>
      </c>
    </row>
    <row r="101" spans="1:17" ht="14.25" customHeight="1" x14ac:dyDescent="0.25">
      <c r="A101" s="5" t="s">
        <v>88</v>
      </c>
      <c r="B101" s="5">
        <f>SUMIFS(Данные!$D$2:$D$1001,Данные!$B$2:$B$1001,$A101,Данные!$C$2:$C$1001,"2023-09*")</f>
        <v>36434</v>
      </c>
      <c r="C101" s="5">
        <f>SUMIFS(Данные!$D$2:$D$1001,Данные!$B$2:$B$1001,$A101,Данные!$C$2:$C$1001,"2023-10*")</f>
        <v>190322</v>
      </c>
      <c r="D101" s="5">
        <f>SUMIFS(Данные!$D$2:$D$1001,Данные!$B$2:$B$1001,$A101,Данные!$C$2:$C$1001,"2023-11*")</f>
        <v>0</v>
      </c>
      <c r="E101" s="5">
        <f>SUMIFS(Данные!$D$2:$D$1001,Данные!$B$2:$B$1001,$A101,Данные!$C$2:$C$1001,"2023-12*")</f>
        <v>0</v>
      </c>
      <c r="F101" s="5">
        <f>SUMIFS(Данные!$D$2:$D$1001,Данные!$B$2:$B$1001,$A101,Данные!$C$2:$C$1001,"2024-01*")</f>
        <v>90871</v>
      </c>
      <c r="G101" s="5">
        <f>SUMIFS(Данные!$D$2:$D$1001,Данные!$B$2:$B$1001,$A101,Данные!$C$2:$C$1001,"2024-02*")</f>
        <v>26104</v>
      </c>
      <c r="H101" s="5">
        <f>SUMIFS(Данные!$D$2:$D$1001,Данные!$B$2:$B$1001,$A101,Данные!$C$2:$C$1001,"2024-03*")</f>
        <v>94483</v>
      </c>
      <c r="I101" s="5">
        <f>SUMIFS(Данные!$D$2:$D$1001,Данные!$B$2:$B$1001,$A101,Данные!$C$2:$C$1001,"2024-04*")</f>
        <v>0</v>
      </c>
      <c r="J101" s="5">
        <f>SUMIFS(Данные!$D$2:$D$1001,Данные!$B$2:$B$1001,$A101,Данные!$C$2:$C$1001,"2024-05*")</f>
        <v>138206</v>
      </c>
      <c r="K101" s="5">
        <f>SUMIFS(Данные!$D$2:$D$1001,Данные!$B$2:$B$1001,$A101,Данные!$C$2:$C$1001,"2024-06*")</f>
        <v>22588</v>
      </c>
      <c r="L101" s="5">
        <f>SUMIFS(Данные!$D$2:$D$1001,Данные!$B$2:$B$1001,$A101,Данные!$C$2:$C$1001,"2024-07*")</f>
        <v>0</v>
      </c>
      <c r="M101" s="5">
        <f>SUMIFS(Данные!$D$2:$D$1001,Данные!$B$2:$B$1001,$A101,Данные!$C$2:$C$1001,"2024-08*")</f>
        <v>0</v>
      </c>
      <c r="N101" s="5">
        <f>SUMIFS(Данные!$D$2:$D$1001,Данные!$B$2:$B$1001,$A101,Данные!$C$2:$C$1001,"2024-09*")</f>
        <v>0</v>
      </c>
      <c r="O101" s="8" t="str">
        <f t="shared" si="11"/>
        <v>A</v>
      </c>
      <c r="P101" s="8" t="str">
        <f t="shared" si="12"/>
        <v>Z</v>
      </c>
      <c r="Q101" s="9">
        <f t="shared" si="13"/>
        <v>599008</v>
      </c>
    </row>
    <row r="102" spans="1:17" ht="14.25" customHeight="1" x14ac:dyDescent="0.25">
      <c r="A102" s="5" t="s">
        <v>99</v>
      </c>
      <c r="B102" s="5">
        <f>SUMIFS(Данные!$D$2:$D$1001,Данные!$B$2:$B$1001,$A102,Данные!$C$2:$C$1001,"2023-09*")</f>
        <v>59562</v>
      </c>
      <c r="C102" s="5">
        <f>SUMIFS(Данные!$D$2:$D$1001,Данные!$B$2:$B$1001,$A102,Данные!$C$2:$C$1001,"2023-10*")</f>
        <v>70360</v>
      </c>
      <c r="D102" s="5">
        <f>SUMIFS(Данные!$D$2:$D$1001,Данные!$B$2:$B$1001,$A102,Данные!$C$2:$C$1001,"2023-11*")</f>
        <v>56177</v>
      </c>
      <c r="E102" s="5">
        <f>SUMIFS(Данные!$D$2:$D$1001,Данные!$B$2:$B$1001,$A102,Данные!$C$2:$C$1001,"2023-12*")</f>
        <v>0</v>
      </c>
      <c r="F102" s="5">
        <f>SUMIFS(Данные!$D$2:$D$1001,Данные!$B$2:$B$1001,$A102,Данные!$C$2:$C$1001,"2024-01*")</f>
        <v>0</v>
      </c>
      <c r="G102" s="5">
        <f>SUMIFS(Данные!$D$2:$D$1001,Данные!$B$2:$B$1001,$A102,Данные!$C$2:$C$1001,"2024-02*")</f>
        <v>0</v>
      </c>
      <c r="H102" s="5">
        <f>SUMIFS(Данные!$D$2:$D$1001,Данные!$B$2:$B$1001,$A102,Данные!$C$2:$C$1001,"2024-03*")</f>
        <v>0</v>
      </c>
      <c r="I102" s="5">
        <f>SUMIFS(Данные!$D$2:$D$1001,Данные!$B$2:$B$1001,$A102,Данные!$C$2:$C$1001,"2024-04*")</f>
        <v>0</v>
      </c>
      <c r="J102" s="5">
        <f>SUMIFS(Данные!$D$2:$D$1001,Данные!$B$2:$B$1001,$A102,Данные!$C$2:$C$1001,"2024-05*")</f>
        <v>126945</v>
      </c>
      <c r="K102" s="5">
        <f>SUMIFS(Данные!$D$2:$D$1001,Данные!$B$2:$B$1001,$A102,Данные!$C$2:$C$1001,"2024-06*")</f>
        <v>0</v>
      </c>
      <c r="L102" s="5">
        <f>SUMIFS(Данные!$D$2:$D$1001,Данные!$B$2:$B$1001,$A102,Данные!$C$2:$C$1001,"2024-07*")</f>
        <v>0</v>
      </c>
      <c r="M102" s="5">
        <f>SUMIFS(Данные!$D$2:$D$1001,Данные!$B$2:$B$1001,$A102,Данные!$C$2:$C$1001,"2024-08*")</f>
        <v>108676</v>
      </c>
      <c r="N102" s="5">
        <f>SUMIFS(Данные!$D$2:$D$1001,Данные!$B$2:$B$1001,$A102,Данные!$C$2:$C$1001,"2024-09*")</f>
        <v>0</v>
      </c>
      <c r="O102" s="8" t="str">
        <f t="shared" si="11"/>
        <v>A</v>
      </c>
      <c r="P102" s="8" t="str">
        <f t="shared" si="12"/>
        <v>Z</v>
      </c>
      <c r="Q102" s="9">
        <f t="shared" si="13"/>
        <v>421720</v>
      </c>
    </row>
    <row r="103" spans="1:17" ht="14.25" customHeight="1" x14ac:dyDescent="0.25">
      <c r="A103" s="5" t="s">
        <v>221</v>
      </c>
      <c r="B103" s="5">
        <f>SUMIFS(Данные!$D$2:$D$1001,Данные!$B$2:$B$1001,$A103,Данные!$C$2:$C$1001,"2023-09*")</f>
        <v>0</v>
      </c>
      <c r="C103" s="5">
        <f>SUMIFS(Данные!$D$2:$D$1001,Данные!$B$2:$B$1001,$A103,Данные!$C$2:$C$1001,"2023-10*")</f>
        <v>0</v>
      </c>
      <c r="D103" s="5">
        <f>SUMIFS(Данные!$D$2:$D$1001,Данные!$B$2:$B$1001,$A103,Данные!$C$2:$C$1001,"2023-11*")</f>
        <v>0</v>
      </c>
      <c r="E103" s="5">
        <f>SUMIFS(Данные!$D$2:$D$1001,Данные!$B$2:$B$1001,$A103,Данные!$C$2:$C$1001,"2023-12*")</f>
        <v>98112</v>
      </c>
      <c r="F103" s="5">
        <f>SUMIFS(Данные!$D$2:$D$1001,Данные!$B$2:$B$1001,$A103,Данные!$C$2:$C$1001,"2024-01*")</f>
        <v>0</v>
      </c>
      <c r="G103" s="5">
        <f>SUMIFS(Данные!$D$2:$D$1001,Данные!$B$2:$B$1001,$A103,Данные!$C$2:$C$1001,"2024-02*")</f>
        <v>0</v>
      </c>
      <c r="H103" s="5">
        <f>SUMIFS(Данные!$D$2:$D$1001,Данные!$B$2:$B$1001,$A103,Данные!$C$2:$C$1001,"2024-03*")</f>
        <v>0</v>
      </c>
      <c r="I103" s="5">
        <f>SUMIFS(Данные!$D$2:$D$1001,Данные!$B$2:$B$1001,$A103,Данные!$C$2:$C$1001,"2024-04*")</f>
        <v>104592</v>
      </c>
      <c r="J103" s="5">
        <f>SUMIFS(Данные!$D$2:$D$1001,Данные!$B$2:$B$1001,$A103,Данные!$C$2:$C$1001,"2024-05*")</f>
        <v>0</v>
      </c>
      <c r="K103" s="5">
        <f>SUMIFS(Данные!$D$2:$D$1001,Данные!$B$2:$B$1001,$A103,Данные!$C$2:$C$1001,"2024-06*")</f>
        <v>0</v>
      </c>
      <c r="L103" s="5">
        <f>SUMIFS(Данные!$D$2:$D$1001,Данные!$B$2:$B$1001,$A103,Данные!$C$2:$C$1001,"2024-07*")</f>
        <v>0</v>
      </c>
      <c r="M103" s="5">
        <f>SUMIFS(Данные!$D$2:$D$1001,Данные!$B$2:$B$1001,$A103,Данные!$C$2:$C$1001,"2024-08*")</f>
        <v>29449</v>
      </c>
      <c r="N103" s="5">
        <f>SUMIFS(Данные!$D$2:$D$1001,Данные!$B$2:$B$1001,$A103,Данные!$C$2:$C$1001,"2024-09*")</f>
        <v>0</v>
      </c>
      <c r="O103" s="8" t="str">
        <f t="shared" si="11"/>
        <v>A</v>
      </c>
      <c r="P103" s="8" t="str">
        <f t="shared" si="12"/>
        <v>Z</v>
      </c>
      <c r="Q103" s="9">
        <f t="shared" si="13"/>
        <v>232153</v>
      </c>
    </row>
    <row r="104" spans="1:17" ht="14.25" customHeight="1" x14ac:dyDescent="0.25">
      <c r="A104" s="5" t="s">
        <v>52</v>
      </c>
      <c r="B104" s="5">
        <f>SUMIFS(Данные!$D$2:$D$1001,Данные!$B$2:$B$1001,$A104,Данные!$C$2:$C$1001,"2023-09*")</f>
        <v>83310</v>
      </c>
      <c r="C104" s="5">
        <f>SUMIFS(Данные!$D$2:$D$1001,Данные!$B$2:$B$1001,$A104,Данные!$C$2:$C$1001,"2023-10*")</f>
        <v>0</v>
      </c>
      <c r="D104" s="5">
        <f>SUMIFS(Данные!$D$2:$D$1001,Данные!$B$2:$B$1001,$A104,Данные!$C$2:$C$1001,"2023-11*")</f>
        <v>0</v>
      </c>
      <c r="E104" s="5">
        <f>SUMIFS(Данные!$D$2:$D$1001,Данные!$B$2:$B$1001,$A104,Данные!$C$2:$C$1001,"2023-12*")</f>
        <v>0</v>
      </c>
      <c r="F104" s="5">
        <f>SUMIFS(Данные!$D$2:$D$1001,Данные!$B$2:$B$1001,$A104,Данные!$C$2:$C$1001,"2024-01*")</f>
        <v>77664</v>
      </c>
      <c r="G104" s="5">
        <f>SUMIFS(Данные!$D$2:$D$1001,Данные!$B$2:$B$1001,$A104,Данные!$C$2:$C$1001,"2024-02*")</f>
        <v>0</v>
      </c>
      <c r="H104" s="5">
        <f>SUMIFS(Данные!$D$2:$D$1001,Данные!$B$2:$B$1001,$A104,Данные!$C$2:$C$1001,"2024-03*")</f>
        <v>0</v>
      </c>
      <c r="I104" s="5">
        <f>SUMIFS(Данные!$D$2:$D$1001,Данные!$B$2:$B$1001,$A104,Данные!$C$2:$C$1001,"2024-04*")</f>
        <v>97699</v>
      </c>
      <c r="J104" s="5">
        <f>SUMIFS(Данные!$D$2:$D$1001,Данные!$B$2:$B$1001,$A104,Данные!$C$2:$C$1001,"2024-05*")</f>
        <v>0</v>
      </c>
      <c r="K104" s="5">
        <f>SUMIFS(Данные!$D$2:$D$1001,Данные!$B$2:$B$1001,$A104,Данные!$C$2:$C$1001,"2024-06*")</f>
        <v>0</v>
      </c>
      <c r="L104" s="5">
        <f>SUMIFS(Данные!$D$2:$D$1001,Данные!$B$2:$B$1001,$A104,Данные!$C$2:$C$1001,"2024-07*")</f>
        <v>0</v>
      </c>
      <c r="M104" s="5">
        <f>SUMIFS(Данные!$D$2:$D$1001,Данные!$B$2:$B$1001,$A104,Данные!$C$2:$C$1001,"2024-08*")</f>
        <v>30744</v>
      </c>
      <c r="N104" s="5">
        <f>SUMIFS(Данные!$D$2:$D$1001,Данные!$B$2:$B$1001,$A104,Данные!$C$2:$C$1001,"2024-09*")</f>
        <v>0</v>
      </c>
      <c r="O104" s="8" t="str">
        <f t="shared" si="11"/>
        <v>A</v>
      </c>
      <c r="P104" s="8" t="str">
        <f t="shared" si="12"/>
        <v>Z</v>
      </c>
      <c r="Q104" s="9">
        <f t="shared" si="13"/>
        <v>289417</v>
      </c>
    </row>
    <row r="105" spans="1:17" ht="14.25" customHeight="1" x14ac:dyDescent="0.25">
      <c r="A105" s="5" t="s">
        <v>211</v>
      </c>
      <c r="B105" s="5">
        <f>SUMIFS(Данные!$D$2:$D$1001,Данные!$B$2:$B$1001,$A105,Данные!$C$2:$C$1001,"2023-09*")</f>
        <v>0</v>
      </c>
      <c r="C105" s="5">
        <f>SUMIFS(Данные!$D$2:$D$1001,Данные!$B$2:$B$1001,$A105,Данные!$C$2:$C$1001,"2023-10*")</f>
        <v>0</v>
      </c>
      <c r="D105" s="5">
        <f>SUMIFS(Данные!$D$2:$D$1001,Данные!$B$2:$B$1001,$A105,Данные!$C$2:$C$1001,"2023-11*")</f>
        <v>97695</v>
      </c>
      <c r="E105" s="5">
        <f>SUMIFS(Данные!$D$2:$D$1001,Данные!$B$2:$B$1001,$A105,Данные!$C$2:$C$1001,"2023-12*")</f>
        <v>0</v>
      </c>
      <c r="F105" s="5">
        <f>SUMIFS(Данные!$D$2:$D$1001,Данные!$B$2:$B$1001,$A105,Данные!$C$2:$C$1001,"2024-01*")</f>
        <v>0</v>
      </c>
      <c r="G105" s="5">
        <f>SUMIFS(Данные!$D$2:$D$1001,Данные!$B$2:$B$1001,$A105,Данные!$C$2:$C$1001,"2024-02*")</f>
        <v>0</v>
      </c>
      <c r="H105" s="5">
        <f>SUMIFS(Данные!$D$2:$D$1001,Данные!$B$2:$B$1001,$A105,Данные!$C$2:$C$1001,"2024-03*")</f>
        <v>0</v>
      </c>
      <c r="I105" s="5">
        <f>SUMIFS(Данные!$D$2:$D$1001,Данные!$B$2:$B$1001,$A105,Данные!$C$2:$C$1001,"2024-04*")</f>
        <v>0</v>
      </c>
      <c r="J105" s="5">
        <f>SUMIFS(Данные!$D$2:$D$1001,Данные!$B$2:$B$1001,$A105,Данные!$C$2:$C$1001,"2024-05*")</f>
        <v>0</v>
      </c>
      <c r="K105" s="5">
        <f>SUMIFS(Данные!$D$2:$D$1001,Данные!$B$2:$B$1001,$A105,Данные!$C$2:$C$1001,"2024-06*")</f>
        <v>0</v>
      </c>
      <c r="L105" s="5">
        <f>SUMIFS(Данные!$D$2:$D$1001,Данные!$B$2:$B$1001,$A105,Данные!$C$2:$C$1001,"2024-07*")</f>
        <v>14094</v>
      </c>
      <c r="M105" s="5">
        <f>SUMIFS(Данные!$D$2:$D$1001,Данные!$B$2:$B$1001,$A105,Данные!$C$2:$C$1001,"2024-08*")</f>
        <v>0</v>
      </c>
      <c r="N105" s="5">
        <f>SUMIFS(Данные!$D$2:$D$1001,Данные!$B$2:$B$1001,$A105,Данные!$C$2:$C$1001,"2024-09*")</f>
        <v>0</v>
      </c>
      <c r="O105" s="8" t="str">
        <f t="shared" si="11"/>
        <v>C</v>
      </c>
      <c r="P105" s="8" t="str">
        <f t="shared" si="12"/>
        <v>Z</v>
      </c>
      <c r="Q105" s="9">
        <f t="shared" si="13"/>
        <v>111789</v>
      </c>
    </row>
    <row r="106" spans="1:17" ht="14.25" customHeight="1" x14ac:dyDescent="0.25">
      <c r="A106" s="5" t="s">
        <v>314</v>
      </c>
      <c r="B106" s="5">
        <f>SUMIFS(Данные!$D$2:$D$1001,Данные!$B$2:$B$1001,$A106,Данные!$C$2:$C$1001,"2023-09*")</f>
        <v>0</v>
      </c>
      <c r="C106" s="5">
        <f>SUMIFS(Данные!$D$2:$D$1001,Данные!$B$2:$B$1001,$A106,Данные!$C$2:$C$1001,"2023-10*")</f>
        <v>0</v>
      </c>
      <c r="D106" s="5">
        <f>SUMIFS(Данные!$D$2:$D$1001,Данные!$B$2:$B$1001,$A106,Данные!$C$2:$C$1001,"2023-11*")</f>
        <v>0</v>
      </c>
      <c r="E106" s="5">
        <f>SUMIFS(Данные!$D$2:$D$1001,Данные!$B$2:$B$1001,$A106,Данные!$C$2:$C$1001,"2023-12*")</f>
        <v>0</v>
      </c>
      <c r="F106" s="5">
        <f>SUMIFS(Данные!$D$2:$D$1001,Данные!$B$2:$B$1001,$A106,Данные!$C$2:$C$1001,"2024-01*")</f>
        <v>0</v>
      </c>
      <c r="G106" s="5">
        <f>SUMIFS(Данные!$D$2:$D$1001,Данные!$B$2:$B$1001,$A106,Данные!$C$2:$C$1001,"2024-02*")</f>
        <v>71937</v>
      </c>
      <c r="H106" s="5">
        <f>SUMIFS(Данные!$D$2:$D$1001,Данные!$B$2:$B$1001,$A106,Данные!$C$2:$C$1001,"2024-03*")</f>
        <v>0</v>
      </c>
      <c r="I106" s="5">
        <f>SUMIFS(Данные!$D$2:$D$1001,Данные!$B$2:$B$1001,$A106,Данные!$C$2:$C$1001,"2024-04*")</f>
        <v>0</v>
      </c>
      <c r="J106" s="5">
        <f>SUMIFS(Данные!$D$2:$D$1001,Данные!$B$2:$B$1001,$A106,Данные!$C$2:$C$1001,"2024-05*")</f>
        <v>0</v>
      </c>
      <c r="K106" s="5">
        <f>SUMIFS(Данные!$D$2:$D$1001,Данные!$B$2:$B$1001,$A106,Данные!$C$2:$C$1001,"2024-06*")</f>
        <v>0</v>
      </c>
      <c r="L106" s="5">
        <f>SUMIFS(Данные!$D$2:$D$1001,Данные!$B$2:$B$1001,$A106,Данные!$C$2:$C$1001,"2024-07*")</f>
        <v>0</v>
      </c>
      <c r="M106" s="5">
        <f>SUMIFS(Данные!$D$2:$D$1001,Данные!$B$2:$B$1001,$A106,Данные!$C$2:$C$1001,"2024-08*")</f>
        <v>0</v>
      </c>
      <c r="N106" s="5">
        <f>SUMIFS(Данные!$D$2:$D$1001,Данные!$B$2:$B$1001,$A106,Данные!$C$2:$C$1001,"2024-09*")</f>
        <v>0</v>
      </c>
      <c r="O106" s="8" t="str">
        <f t="shared" si="11"/>
        <v>C</v>
      </c>
      <c r="P106" s="8" t="str">
        <f t="shared" si="12"/>
        <v>Z</v>
      </c>
      <c r="Q106" s="9">
        <f t="shared" si="13"/>
        <v>71937</v>
      </c>
    </row>
    <row r="107" spans="1:17" ht="14.25" customHeight="1" x14ac:dyDescent="0.25">
      <c r="A107" s="5" t="s">
        <v>324</v>
      </c>
      <c r="B107" s="5">
        <f>SUMIFS(Данные!$D$2:$D$1001,Данные!$B$2:$B$1001,$A107,Данные!$C$2:$C$1001,"2023-09*")</f>
        <v>0</v>
      </c>
      <c r="C107" s="5">
        <f>SUMIFS(Данные!$D$2:$D$1001,Данные!$B$2:$B$1001,$A107,Данные!$C$2:$C$1001,"2023-10*")</f>
        <v>0</v>
      </c>
      <c r="D107" s="5">
        <f>SUMIFS(Данные!$D$2:$D$1001,Данные!$B$2:$B$1001,$A107,Данные!$C$2:$C$1001,"2023-11*")</f>
        <v>0</v>
      </c>
      <c r="E107" s="5">
        <f>SUMIFS(Данные!$D$2:$D$1001,Данные!$B$2:$B$1001,$A107,Данные!$C$2:$C$1001,"2023-12*")</f>
        <v>0</v>
      </c>
      <c r="F107" s="5">
        <f>SUMIFS(Данные!$D$2:$D$1001,Данные!$B$2:$B$1001,$A107,Данные!$C$2:$C$1001,"2024-01*")</f>
        <v>0</v>
      </c>
      <c r="G107" s="5">
        <f>SUMIFS(Данные!$D$2:$D$1001,Данные!$B$2:$B$1001,$A107,Данные!$C$2:$C$1001,"2024-02*")</f>
        <v>0</v>
      </c>
      <c r="H107" s="5">
        <f>SUMIFS(Данные!$D$2:$D$1001,Данные!$B$2:$B$1001,$A107,Данные!$C$2:$C$1001,"2024-03*")</f>
        <v>134007</v>
      </c>
      <c r="I107" s="5">
        <f>SUMIFS(Данные!$D$2:$D$1001,Данные!$B$2:$B$1001,$A107,Данные!$C$2:$C$1001,"2024-04*")</f>
        <v>47747</v>
      </c>
      <c r="J107" s="5">
        <f>SUMIFS(Данные!$D$2:$D$1001,Данные!$B$2:$B$1001,$A107,Данные!$C$2:$C$1001,"2024-05*")</f>
        <v>0</v>
      </c>
      <c r="K107" s="5">
        <f>SUMIFS(Данные!$D$2:$D$1001,Данные!$B$2:$B$1001,$A107,Данные!$C$2:$C$1001,"2024-06*")</f>
        <v>0</v>
      </c>
      <c r="L107" s="5">
        <f>SUMIFS(Данные!$D$2:$D$1001,Данные!$B$2:$B$1001,$A107,Данные!$C$2:$C$1001,"2024-07*")</f>
        <v>37845</v>
      </c>
      <c r="M107" s="5">
        <f>SUMIFS(Данные!$D$2:$D$1001,Данные!$B$2:$B$1001,$A107,Данные!$C$2:$C$1001,"2024-08*")</f>
        <v>13110</v>
      </c>
      <c r="N107" s="5">
        <f>SUMIFS(Данные!$D$2:$D$1001,Данные!$B$2:$B$1001,$A107,Данные!$C$2:$C$1001,"2024-09*")</f>
        <v>0</v>
      </c>
      <c r="O107" s="8" t="str">
        <f t="shared" si="11"/>
        <v>A</v>
      </c>
      <c r="P107" s="8" t="str">
        <f t="shared" si="12"/>
        <v>Z</v>
      </c>
      <c r="Q107" s="9">
        <f t="shared" si="13"/>
        <v>232709</v>
      </c>
    </row>
    <row r="108" spans="1:17" ht="14.25" customHeight="1" x14ac:dyDescent="0.25">
      <c r="A108" s="5" t="s">
        <v>32</v>
      </c>
      <c r="B108" s="5">
        <f>SUMIFS(Данные!$D$2:$D$1001,Данные!$B$2:$B$1001,$A108,Данные!$C$2:$C$1001,"2023-09*")</f>
        <v>65909</v>
      </c>
      <c r="C108" s="5">
        <f>SUMIFS(Данные!$D$2:$D$1001,Данные!$B$2:$B$1001,$A108,Данные!$C$2:$C$1001,"2023-10*")</f>
        <v>37657</v>
      </c>
      <c r="D108" s="5">
        <f>SUMIFS(Данные!$D$2:$D$1001,Данные!$B$2:$B$1001,$A108,Данные!$C$2:$C$1001,"2023-11*")</f>
        <v>0</v>
      </c>
      <c r="E108" s="5">
        <f>SUMIFS(Данные!$D$2:$D$1001,Данные!$B$2:$B$1001,$A108,Данные!$C$2:$C$1001,"2023-12*")</f>
        <v>0</v>
      </c>
      <c r="F108" s="5">
        <f>SUMIFS(Данные!$D$2:$D$1001,Данные!$B$2:$B$1001,$A108,Данные!$C$2:$C$1001,"2024-01*")</f>
        <v>0</v>
      </c>
      <c r="G108" s="5">
        <f>SUMIFS(Данные!$D$2:$D$1001,Данные!$B$2:$B$1001,$A108,Данные!$C$2:$C$1001,"2024-02*")</f>
        <v>0</v>
      </c>
      <c r="H108" s="5">
        <f>SUMIFS(Данные!$D$2:$D$1001,Данные!$B$2:$B$1001,$A108,Данные!$C$2:$C$1001,"2024-03*")</f>
        <v>65516</v>
      </c>
      <c r="I108" s="5">
        <f>SUMIFS(Данные!$D$2:$D$1001,Данные!$B$2:$B$1001,$A108,Данные!$C$2:$C$1001,"2024-04*")</f>
        <v>0</v>
      </c>
      <c r="J108" s="5">
        <f>SUMIFS(Данные!$D$2:$D$1001,Данные!$B$2:$B$1001,$A108,Данные!$C$2:$C$1001,"2024-05*")</f>
        <v>145224</v>
      </c>
      <c r="K108" s="5">
        <f>SUMIFS(Данные!$D$2:$D$1001,Данные!$B$2:$B$1001,$A108,Данные!$C$2:$C$1001,"2024-06*")</f>
        <v>0</v>
      </c>
      <c r="L108" s="5">
        <f>SUMIFS(Данные!$D$2:$D$1001,Данные!$B$2:$B$1001,$A108,Данные!$C$2:$C$1001,"2024-07*")</f>
        <v>0</v>
      </c>
      <c r="M108" s="5">
        <f>SUMIFS(Данные!$D$2:$D$1001,Данные!$B$2:$B$1001,$A108,Данные!$C$2:$C$1001,"2024-08*")</f>
        <v>69129</v>
      </c>
      <c r="N108" s="5">
        <f>SUMIFS(Данные!$D$2:$D$1001,Данные!$B$2:$B$1001,$A108,Данные!$C$2:$C$1001,"2024-09*")</f>
        <v>0</v>
      </c>
      <c r="O108" s="8" t="str">
        <f t="shared" si="11"/>
        <v>A</v>
      </c>
      <c r="P108" s="8" t="str">
        <f t="shared" si="12"/>
        <v>Z</v>
      </c>
      <c r="Q108" s="9">
        <f t="shared" si="13"/>
        <v>383435</v>
      </c>
    </row>
    <row r="109" spans="1:17" ht="14.25" customHeight="1" x14ac:dyDescent="0.25">
      <c r="A109" s="5" t="s">
        <v>234</v>
      </c>
      <c r="B109" s="5">
        <f>SUMIFS(Данные!$D$2:$D$1001,Данные!$B$2:$B$1001,$A109,Данные!$C$2:$C$1001,"2023-09*")</f>
        <v>0</v>
      </c>
      <c r="C109" s="5">
        <f>SUMIFS(Данные!$D$2:$D$1001,Данные!$B$2:$B$1001,$A109,Данные!$C$2:$C$1001,"2023-10*")</f>
        <v>0</v>
      </c>
      <c r="D109" s="5">
        <f>SUMIFS(Данные!$D$2:$D$1001,Данные!$B$2:$B$1001,$A109,Данные!$C$2:$C$1001,"2023-11*")</f>
        <v>0</v>
      </c>
      <c r="E109" s="5">
        <f>SUMIFS(Данные!$D$2:$D$1001,Данные!$B$2:$B$1001,$A109,Данные!$C$2:$C$1001,"2023-12*")</f>
        <v>186282</v>
      </c>
      <c r="F109" s="5">
        <f>SUMIFS(Данные!$D$2:$D$1001,Данные!$B$2:$B$1001,$A109,Данные!$C$2:$C$1001,"2024-01*")</f>
        <v>0</v>
      </c>
      <c r="G109" s="5">
        <f>SUMIFS(Данные!$D$2:$D$1001,Данные!$B$2:$B$1001,$A109,Данные!$C$2:$C$1001,"2024-02*")</f>
        <v>0</v>
      </c>
      <c r="H109" s="5">
        <f>SUMIFS(Данные!$D$2:$D$1001,Данные!$B$2:$B$1001,$A109,Данные!$C$2:$C$1001,"2024-03*")</f>
        <v>69633</v>
      </c>
      <c r="I109" s="5">
        <f>SUMIFS(Данные!$D$2:$D$1001,Данные!$B$2:$B$1001,$A109,Данные!$C$2:$C$1001,"2024-04*")</f>
        <v>0</v>
      </c>
      <c r="J109" s="5">
        <f>SUMIFS(Данные!$D$2:$D$1001,Данные!$B$2:$B$1001,$A109,Данные!$C$2:$C$1001,"2024-05*")</f>
        <v>45899</v>
      </c>
      <c r="K109" s="5">
        <f>SUMIFS(Данные!$D$2:$D$1001,Данные!$B$2:$B$1001,$A109,Данные!$C$2:$C$1001,"2024-06*")</f>
        <v>31938</v>
      </c>
      <c r="L109" s="5">
        <f>SUMIFS(Данные!$D$2:$D$1001,Данные!$B$2:$B$1001,$A109,Данные!$C$2:$C$1001,"2024-07*")</f>
        <v>0</v>
      </c>
      <c r="M109" s="5">
        <f>SUMIFS(Данные!$D$2:$D$1001,Данные!$B$2:$B$1001,$A109,Данные!$C$2:$C$1001,"2024-08*")</f>
        <v>0</v>
      </c>
      <c r="N109" s="5">
        <f>SUMIFS(Данные!$D$2:$D$1001,Данные!$B$2:$B$1001,$A109,Данные!$C$2:$C$1001,"2024-09*")</f>
        <v>0</v>
      </c>
      <c r="O109" s="8" t="str">
        <f t="shared" si="11"/>
        <v>A</v>
      </c>
      <c r="P109" s="8" t="str">
        <f t="shared" si="12"/>
        <v>Z</v>
      </c>
      <c r="Q109" s="9">
        <f t="shared" si="13"/>
        <v>333752</v>
      </c>
    </row>
    <row r="110" spans="1:17" ht="14.25" customHeight="1" x14ac:dyDescent="0.25">
      <c r="A110" s="5" t="s">
        <v>72</v>
      </c>
      <c r="B110" s="5">
        <f>SUMIFS(Данные!$D$2:$D$1001,Данные!$B$2:$B$1001,$A110,Данные!$C$2:$C$1001,"2023-09*")</f>
        <v>49624</v>
      </c>
      <c r="C110" s="5">
        <f>SUMIFS(Данные!$D$2:$D$1001,Данные!$B$2:$B$1001,$A110,Данные!$C$2:$C$1001,"2023-10*")</f>
        <v>0</v>
      </c>
      <c r="D110" s="5">
        <f>SUMIFS(Данные!$D$2:$D$1001,Данные!$B$2:$B$1001,$A110,Данные!$C$2:$C$1001,"2023-11*")</f>
        <v>38359</v>
      </c>
      <c r="E110" s="5">
        <f>SUMIFS(Данные!$D$2:$D$1001,Данные!$B$2:$B$1001,$A110,Данные!$C$2:$C$1001,"2023-12*")</f>
        <v>0</v>
      </c>
      <c r="F110" s="5">
        <f>SUMIFS(Данные!$D$2:$D$1001,Данные!$B$2:$B$1001,$A110,Данные!$C$2:$C$1001,"2024-01*")</f>
        <v>125921</v>
      </c>
      <c r="G110" s="5">
        <f>SUMIFS(Данные!$D$2:$D$1001,Данные!$B$2:$B$1001,$A110,Данные!$C$2:$C$1001,"2024-02*")</f>
        <v>0</v>
      </c>
      <c r="H110" s="5">
        <f>SUMIFS(Данные!$D$2:$D$1001,Данные!$B$2:$B$1001,$A110,Данные!$C$2:$C$1001,"2024-03*")</f>
        <v>38196</v>
      </c>
      <c r="I110" s="5">
        <f>SUMIFS(Данные!$D$2:$D$1001,Данные!$B$2:$B$1001,$A110,Данные!$C$2:$C$1001,"2024-04*")</f>
        <v>75439</v>
      </c>
      <c r="J110" s="5">
        <f>SUMIFS(Данные!$D$2:$D$1001,Данные!$B$2:$B$1001,$A110,Данные!$C$2:$C$1001,"2024-05*")</f>
        <v>0</v>
      </c>
      <c r="K110" s="5">
        <f>SUMIFS(Данные!$D$2:$D$1001,Данные!$B$2:$B$1001,$A110,Данные!$C$2:$C$1001,"2024-06*")</f>
        <v>0</v>
      </c>
      <c r="L110" s="5">
        <f>SUMIFS(Данные!$D$2:$D$1001,Данные!$B$2:$B$1001,$A110,Данные!$C$2:$C$1001,"2024-07*")</f>
        <v>247308</v>
      </c>
      <c r="M110" s="5">
        <f>SUMIFS(Данные!$D$2:$D$1001,Данные!$B$2:$B$1001,$A110,Данные!$C$2:$C$1001,"2024-08*")</f>
        <v>58888</v>
      </c>
      <c r="N110" s="5">
        <f>SUMIFS(Данные!$D$2:$D$1001,Данные!$B$2:$B$1001,$A110,Данные!$C$2:$C$1001,"2024-09*")</f>
        <v>0</v>
      </c>
      <c r="O110" s="8" t="str">
        <f t="shared" si="11"/>
        <v>A</v>
      </c>
      <c r="P110" s="8" t="str">
        <f t="shared" si="12"/>
        <v>Z</v>
      </c>
      <c r="Q110" s="9">
        <f t="shared" si="13"/>
        <v>633735</v>
      </c>
    </row>
    <row r="111" spans="1:17" ht="14.25" customHeight="1" x14ac:dyDescent="0.25">
      <c r="A111" s="5" t="s">
        <v>169</v>
      </c>
      <c r="B111" s="5">
        <f>SUMIFS(Данные!$D$2:$D$1001,Данные!$B$2:$B$1001,$A111,Данные!$C$2:$C$1001,"2023-09*")</f>
        <v>0</v>
      </c>
      <c r="C111" s="5">
        <f>SUMIFS(Данные!$D$2:$D$1001,Данные!$B$2:$B$1001,$A111,Данные!$C$2:$C$1001,"2023-10*")</f>
        <v>0</v>
      </c>
      <c r="D111" s="5">
        <f>SUMIFS(Данные!$D$2:$D$1001,Данные!$B$2:$B$1001,$A111,Данные!$C$2:$C$1001,"2023-11*")</f>
        <v>99019</v>
      </c>
      <c r="E111" s="5">
        <f>SUMIFS(Данные!$D$2:$D$1001,Данные!$B$2:$B$1001,$A111,Данные!$C$2:$C$1001,"2023-12*")</f>
        <v>0</v>
      </c>
      <c r="F111" s="5">
        <f>SUMIFS(Данные!$D$2:$D$1001,Данные!$B$2:$B$1001,$A111,Данные!$C$2:$C$1001,"2024-01*")</f>
        <v>0</v>
      </c>
      <c r="G111" s="5">
        <f>SUMIFS(Данные!$D$2:$D$1001,Данные!$B$2:$B$1001,$A111,Данные!$C$2:$C$1001,"2024-02*")</f>
        <v>36872</v>
      </c>
      <c r="H111" s="5">
        <f>SUMIFS(Данные!$D$2:$D$1001,Данные!$B$2:$B$1001,$A111,Данные!$C$2:$C$1001,"2024-03*")</f>
        <v>17545</v>
      </c>
      <c r="I111" s="5">
        <f>SUMIFS(Данные!$D$2:$D$1001,Данные!$B$2:$B$1001,$A111,Данные!$C$2:$C$1001,"2024-04*")</f>
        <v>0</v>
      </c>
      <c r="J111" s="5">
        <f>SUMIFS(Данные!$D$2:$D$1001,Данные!$B$2:$B$1001,$A111,Данные!$C$2:$C$1001,"2024-05*")</f>
        <v>49747</v>
      </c>
      <c r="K111" s="5">
        <f>SUMIFS(Данные!$D$2:$D$1001,Данные!$B$2:$B$1001,$A111,Данные!$C$2:$C$1001,"2024-06*")</f>
        <v>87132</v>
      </c>
      <c r="L111" s="5">
        <f>SUMIFS(Данные!$D$2:$D$1001,Данные!$B$2:$B$1001,$A111,Данные!$C$2:$C$1001,"2024-07*")</f>
        <v>0</v>
      </c>
      <c r="M111" s="5">
        <f>SUMIFS(Данные!$D$2:$D$1001,Данные!$B$2:$B$1001,$A111,Данные!$C$2:$C$1001,"2024-08*")</f>
        <v>13496</v>
      </c>
      <c r="N111" s="5">
        <f>SUMIFS(Данные!$D$2:$D$1001,Данные!$B$2:$B$1001,$A111,Данные!$C$2:$C$1001,"2024-09*")</f>
        <v>0</v>
      </c>
      <c r="O111" s="8" t="str">
        <f t="shared" si="11"/>
        <v>A</v>
      </c>
      <c r="P111" s="8" t="str">
        <f t="shared" si="12"/>
        <v>Z</v>
      </c>
      <c r="Q111" s="9">
        <f t="shared" si="13"/>
        <v>303811</v>
      </c>
    </row>
    <row r="112" spans="1:17" ht="14.25" customHeight="1" x14ac:dyDescent="0.25">
      <c r="A112" s="5" t="s">
        <v>268</v>
      </c>
      <c r="B112" s="5">
        <f>SUMIFS(Данные!$D$2:$D$1001,Данные!$B$2:$B$1001,$A112,Данные!$C$2:$C$1001,"2023-09*")</f>
        <v>0</v>
      </c>
      <c r="C112" s="5">
        <f>SUMIFS(Данные!$D$2:$D$1001,Данные!$B$2:$B$1001,$A112,Данные!$C$2:$C$1001,"2023-10*")</f>
        <v>0</v>
      </c>
      <c r="D112" s="5">
        <f>SUMIFS(Данные!$D$2:$D$1001,Данные!$B$2:$B$1001,$A112,Данные!$C$2:$C$1001,"2023-11*")</f>
        <v>0</v>
      </c>
      <c r="E112" s="5">
        <f>SUMIFS(Данные!$D$2:$D$1001,Данные!$B$2:$B$1001,$A112,Данные!$C$2:$C$1001,"2023-12*")</f>
        <v>0</v>
      </c>
      <c r="F112" s="5">
        <f>SUMIFS(Данные!$D$2:$D$1001,Данные!$B$2:$B$1001,$A112,Данные!$C$2:$C$1001,"2024-01*")</f>
        <v>24644</v>
      </c>
      <c r="G112" s="5">
        <f>SUMIFS(Данные!$D$2:$D$1001,Данные!$B$2:$B$1001,$A112,Данные!$C$2:$C$1001,"2024-02*")</f>
        <v>72221</v>
      </c>
      <c r="H112" s="5">
        <f>SUMIFS(Данные!$D$2:$D$1001,Данные!$B$2:$B$1001,$A112,Данные!$C$2:$C$1001,"2024-03*")</f>
        <v>96387</v>
      </c>
      <c r="I112" s="5">
        <f>SUMIFS(Данные!$D$2:$D$1001,Данные!$B$2:$B$1001,$A112,Данные!$C$2:$C$1001,"2024-04*")</f>
        <v>0</v>
      </c>
      <c r="J112" s="5">
        <f>SUMIFS(Данные!$D$2:$D$1001,Данные!$B$2:$B$1001,$A112,Данные!$C$2:$C$1001,"2024-05*")</f>
        <v>10160</v>
      </c>
      <c r="K112" s="5">
        <f>SUMIFS(Данные!$D$2:$D$1001,Данные!$B$2:$B$1001,$A112,Данные!$C$2:$C$1001,"2024-06*")</f>
        <v>0</v>
      </c>
      <c r="L112" s="5">
        <f>SUMIFS(Данные!$D$2:$D$1001,Данные!$B$2:$B$1001,$A112,Данные!$C$2:$C$1001,"2024-07*")</f>
        <v>0</v>
      </c>
      <c r="M112" s="5">
        <f>SUMIFS(Данные!$D$2:$D$1001,Данные!$B$2:$B$1001,$A112,Данные!$C$2:$C$1001,"2024-08*")</f>
        <v>0</v>
      </c>
      <c r="N112" s="5">
        <f>SUMIFS(Данные!$D$2:$D$1001,Данные!$B$2:$B$1001,$A112,Данные!$C$2:$C$1001,"2024-09*")</f>
        <v>0</v>
      </c>
      <c r="O112" s="8" t="str">
        <f t="shared" si="11"/>
        <v>B</v>
      </c>
      <c r="P112" s="8" t="str">
        <f t="shared" si="12"/>
        <v>Z</v>
      </c>
      <c r="Q112" s="9">
        <f t="shared" si="13"/>
        <v>203412</v>
      </c>
    </row>
    <row r="113" spans="1:17" ht="14.25" customHeight="1" x14ac:dyDescent="0.25">
      <c r="A113" s="5" t="s">
        <v>86</v>
      </c>
      <c r="B113" s="5">
        <f>SUMIFS(Данные!$D$2:$D$1001,Данные!$B$2:$B$1001,$A113,Данные!$C$2:$C$1001,"2023-09*")</f>
        <v>56636</v>
      </c>
      <c r="C113" s="5">
        <f>SUMIFS(Данные!$D$2:$D$1001,Данные!$B$2:$B$1001,$A113,Данные!$C$2:$C$1001,"2023-10*")</f>
        <v>0</v>
      </c>
      <c r="D113" s="5">
        <f>SUMIFS(Данные!$D$2:$D$1001,Данные!$B$2:$B$1001,$A113,Данные!$C$2:$C$1001,"2023-11*")</f>
        <v>39918</v>
      </c>
      <c r="E113" s="5">
        <f>SUMIFS(Данные!$D$2:$D$1001,Данные!$B$2:$B$1001,$A113,Данные!$C$2:$C$1001,"2023-12*")</f>
        <v>0</v>
      </c>
      <c r="F113" s="5">
        <f>SUMIFS(Данные!$D$2:$D$1001,Данные!$B$2:$B$1001,$A113,Данные!$C$2:$C$1001,"2024-01*")</f>
        <v>0</v>
      </c>
      <c r="G113" s="5">
        <f>SUMIFS(Данные!$D$2:$D$1001,Данные!$B$2:$B$1001,$A113,Данные!$C$2:$C$1001,"2024-02*")</f>
        <v>0</v>
      </c>
      <c r="H113" s="5">
        <f>SUMIFS(Данные!$D$2:$D$1001,Данные!$B$2:$B$1001,$A113,Данные!$C$2:$C$1001,"2024-03*")</f>
        <v>0</v>
      </c>
      <c r="I113" s="5">
        <f>SUMIFS(Данные!$D$2:$D$1001,Данные!$B$2:$B$1001,$A113,Данные!$C$2:$C$1001,"2024-04*")</f>
        <v>0</v>
      </c>
      <c r="J113" s="5">
        <f>SUMIFS(Данные!$D$2:$D$1001,Данные!$B$2:$B$1001,$A113,Данные!$C$2:$C$1001,"2024-05*")</f>
        <v>42030</v>
      </c>
      <c r="K113" s="5">
        <f>SUMIFS(Данные!$D$2:$D$1001,Данные!$B$2:$B$1001,$A113,Данные!$C$2:$C$1001,"2024-06*")</f>
        <v>0</v>
      </c>
      <c r="L113" s="5">
        <f>SUMIFS(Данные!$D$2:$D$1001,Данные!$B$2:$B$1001,$A113,Данные!$C$2:$C$1001,"2024-07*")</f>
        <v>0</v>
      </c>
      <c r="M113" s="5">
        <f>SUMIFS(Данные!$D$2:$D$1001,Данные!$B$2:$B$1001,$A113,Данные!$C$2:$C$1001,"2024-08*")</f>
        <v>0</v>
      </c>
      <c r="N113" s="5">
        <f>SUMIFS(Данные!$D$2:$D$1001,Данные!$B$2:$B$1001,$A113,Данные!$C$2:$C$1001,"2024-09*")</f>
        <v>0</v>
      </c>
      <c r="O113" s="8" t="str">
        <f t="shared" si="11"/>
        <v>B</v>
      </c>
      <c r="P113" s="8" t="str">
        <f t="shared" si="12"/>
        <v>Z</v>
      </c>
      <c r="Q113" s="9">
        <f t="shared" si="13"/>
        <v>138584</v>
      </c>
    </row>
    <row r="114" spans="1:17" ht="14.25" customHeight="1" x14ac:dyDescent="0.25">
      <c r="A114" s="5" t="s">
        <v>216</v>
      </c>
      <c r="B114" s="5">
        <f>SUMIFS(Данные!$D$2:$D$1001,Данные!$B$2:$B$1001,$A114,Данные!$C$2:$C$1001,"2023-09*")</f>
        <v>0</v>
      </c>
      <c r="C114" s="5">
        <f>SUMIFS(Данные!$D$2:$D$1001,Данные!$B$2:$B$1001,$A114,Данные!$C$2:$C$1001,"2023-10*")</f>
        <v>0</v>
      </c>
      <c r="D114" s="5">
        <f>SUMIFS(Данные!$D$2:$D$1001,Данные!$B$2:$B$1001,$A114,Данные!$C$2:$C$1001,"2023-11*")</f>
        <v>91628</v>
      </c>
      <c r="E114" s="5">
        <f>SUMIFS(Данные!$D$2:$D$1001,Данные!$B$2:$B$1001,$A114,Данные!$C$2:$C$1001,"2023-12*")</f>
        <v>82485</v>
      </c>
      <c r="F114" s="5">
        <f>SUMIFS(Данные!$D$2:$D$1001,Данные!$B$2:$B$1001,$A114,Данные!$C$2:$C$1001,"2024-01*")</f>
        <v>0</v>
      </c>
      <c r="G114" s="5">
        <f>SUMIFS(Данные!$D$2:$D$1001,Данные!$B$2:$B$1001,$A114,Данные!$C$2:$C$1001,"2024-02*")</f>
        <v>0</v>
      </c>
      <c r="H114" s="5">
        <f>SUMIFS(Данные!$D$2:$D$1001,Данные!$B$2:$B$1001,$A114,Данные!$C$2:$C$1001,"2024-03*")</f>
        <v>39487</v>
      </c>
      <c r="I114" s="5">
        <f>SUMIFS(Данные!$D$2:$D$1001,Данные!$B$2:$B$1001,$A114,Данные!$C$2:$C$1001,"2024-04*")</f>
        <v>0</v>
      </c>
      <c r="J114" s="5">
        <f>SUMIFS(Данные!$D$2:$D$1001,Данные!$B$2:$B$1001,$A114,Данные!$C$2:$C$1001,"2024-05*")</f>
        <v>0</v>
      </c>
      <c r="K114" s="5">
        <f>SUMIFS(Данные!$D$2:$D$1001,Данные!$B$2:$B$1001,$A114,Данные!$C$2:$C$1001,"2024-06*")</f>
        <v>70915</v>
      </c>
      <c r="L114" s="5">
        <f>SUMIFS(Данные!$D$2:$D$1001,Данные!$B$2:$B$1001,$A114,Данные!$C$2:$C$1001,"2024-07*")</f>
        <v>0</v>
      </c>
      <c r="M114" s="5">
        <f>SUMIFS(Данные!$D$2:$D$1001,Данные!$B$2:$B$1001,$A114,Данные!$C$2:$C$1001,"2024-08*")</f>
        <v>29545</v>
      </c>
      <c r="N114" s="5">
        <f>SUMIFS(Данные!$D$2:$D$1001,Данные!$B$2:$B$1001,$A114,Данные!$C$2:$C$1001,"2024-09*")</f>
        <v>0</v>
      </c>
      <c r="O114" s="8" t="str">
        <f t="shared" si="11"/>
        <v>A</v>
      </c>
      <c r="P114" s="8" t="str">
        <f t="shared" si="12"/>
        <v>Z</v>
      </c>
      <c r="Q114" s="9">
        <f t="shared" si="13"/>
        <v>314060</v>
      </c>
    </row>
    <row r="115" spans="1:17" ht="14.25" customHeight="1" x14ac:dyDescent="0.25">
      <c r="A115" s="5" t="s">
        <v>233</v>
      </c>
      <c r="B115" s="5">
        <f>SUMIFS(Данные!$D$2:$D$1001,Данные!$B$2:$B$1001,$A115,Данные!$C$2:$C$1001,"2023-09*")</f>
        <v>0</v>
      </c>
      <c r="C115" s="5">
        <f>SUMIFS(Данные!$D$2:$D$1001,Данные!$B$2:$B$1001,$A115,Данные!$C$2:$C$1001,"2023-10*")</f>
        <v>0</v>
      </c>
      <c r="D115" s="5">
        <f>SUMIFS(Данные!$D$2:$D$1001,Данные!$B$2:$B$1001,$A115,Данные!$C$2:$C$1001,"2023-11*")</f>
        <v>0</v>
      </c>
      <c r="E115" s="5">
        <f>SUMIFS(Данные!$D$2:$D$1001,Данные!$B$2:$B$1001,$A115,Данные!$C$2:$C$1001,"2023-12*")</f>
        <v>38438</v>
      </c>
      <c r="F115" s="5">
        <f>SUMIFS(Данные!$D$2:$D$1001,Данные!$B$2:$B$1001,$A115,Данные!$C$2:$C$1001,"2024-01*")</f>
        <v>0</v>
      </c>
      <c r="G115" s="5">
        <f>SUMIFS(Данные!$D$2:$D$1001,Данные!$B$2:$B$1001,$A115,Данные!$C$2:$C$1001,"2024-02*")</f>
        <v>0</v>
      </c>
      <c r="H115" s="5">
        <f>SUMIFS(Данные!$D$2:$D$1001,Данные!$B$2:$B$1001,$A115,Данные!$C$2:$C$1001,"2024-03*")</f>
        <v>0</v>
      </c>
      <c r="I115" s="5">
        <f>SUMIFS(Данные!$D$2:$D$1001,Данные!$B$2:$B$1001,$A115,Данные!$C$2:$C$1001,"2024-04*")</f>
        <v>0</v>
      </c>
      <c r="J115" s="5">
        <f>SUMIFS(Данные!$D$2:$D$1001,Данные!$B$2:$B$1001,$A115,Данные!$C$2:$C$1001,"2024-05*")</f>
        <v>0</v>
      </c>
      <c r="K115" s="5">
        <f>SUMIFS(Данные!$D$2:$D$1001,Данные!$B$2:$B$1001,$A115,Данные!$C$2:$C$1001,"2024-06*")</f>
        <v>69657</v>
      </c>
      <c r="L115" s="5">
        <f>SUMIFS(Данные!$D$2:$D$1001,Данные!$B$2:$B$1001,$A115,Данные!$C$2:$C$1001,"2024-07*")</f>
        <v>0</v>
      </c>
      <c r="M115" s="5">
        <f>SUMIFS(Данные!$D$2:$D$1001,Данные!$B$2:$B$1001,$A115,Данные!$C$2:$C$1001,"2024-08*")</f>
        <v>0</v>
      </c>
      <c r="N115" s="5">
        <f>SUMIFS(Данные!$D$2:$D$1001,Данные!$B$2:$B$1001,$A115,Данные!$C$2:$C$1001,"2024-09*")</f>
        <v>0</v>
      </c>
      <c r="O115" s="8" t="str">
        <f t="shared" si="11"/>
        <v>C</v>
      </c>
      <c r="P115" s="8" t="str">
        <f t="shared" si="12"/>
        <v>Z</v>
      </c>
      <c r="Q115" s="9">
        <f t="shared" si="13"/>
        <v>108095</v>
      </c>
    </row>
    <row r="116" spans="1:17" ht="14.25" customHeight="1" x14ac:dyDescent="0.25">
      <c r="A116" s="5" t="s">
        <v>47</v>
      </c>
      <c r="B116" s="5">
        <f>SUMIFS(Данные!$D$2:$D$1001,Данные!$B$2:$B$1001,$A116,Данные!$C$2:$C$1001,"2023-09*")</f>
        <v>57662</v>
      </c>
      <c r="C116" s="5">
        <f>SUMIFS(Данные!$D$2:$D$1001,Данные!$B$2:$B$1001,$A116,Данные!$C$2:$C$1001,"2023-10*")</f>
        <v>0</v>
      </c>
      <c r="D116" s="5">
        <f>SUMIFS(Данные!$D$2:$D$1001,Данные!$B$2:$B$1001,$A116,Данные!$C$2:$C$1001,"2023-11*")</f>
        <v>0</v>
      </c>
      <c r="E116" s="5">
        <f>SUMIFS(Данные!$D$2:$D$1001,Данные!$B$2:$B$1001,$A116,Данные!$C$2:$C$1001,"2023-12*")</f>
        <v>52086</v>
      </c>
      <c r="F116" s="5">
        <f>SUMIFS(Данные!$D$2:$D$1001,Данные!$B$2:$B$1001,$A116,Данные!$C$2:$C$1001,"2024-01*")</f>
        <v>60209</v>
      </c>
      <c r="G116" s="5">
        <f>SUMIFS(Данные!$D$2:$D$1001,Данные!$B$2:$B$1001,$A116,Данные!$C$2:$C$1001,"2024-02*")</f>
        <v>0</v>
      </c>
      <c r="H116" s="5">
        <f>SUMIFS(Данные!$D$2:$D$1001,Данные!$B$2:$B$1001,$A116,Данные!$C$2:$C$1001,"2024-03*")</f>
        <v>0</v>
      </c>
      <c r="I116" s="5">
        <f>SUMIFS(Данные!$D$2:$D$1001,Данные!$B$2:$B$1001,$A116,Данные!$C$2:$C$1001,"2024-04*")</f>
        <v>0</v>
      </c>
      <c r="J116" s="5">
        <f>SUMIFS(Данные!$D$2:$D$1001,Данные!$B$2:$B$1001,$A116,Данные!$C$2:$C$1001,"2024-05*")</f>
        <v>198388</v>
      </c>
      <c r="K116" s="5">
        <f>SUMIFS(Данные!$D$2:$D$1001,Данные!$B$2:$B$1001,$A116,Данные!$C$2:$C$1001,"2024-06*")</f>
        <v>0</v>
      </c>
      <c r="L116" s="5">
        <f>SUMIFS(Данные!$D$2:$D$1001,Данные!$B$2:$B$1001,$A116,Данные!$C$2:$C$1001,"2024-07*")</f>
        <v>35696</v>
      </c>
      <c r="M116" s="5">
        <f>SUMIFS(Данные!$D$2:$D$1001,Данные!$B$2:$B$1001,$A116,Данные!$C$2:$C$1001,"2024-08*")</f>
        <v>82384</v>
      </c>
      <c r="N116" s="5">
        <f>SUMIFS(Данные!$D$2:$D$1001,Данные!$B$2:$B$1001,$A116,Данные!$C$2:$C$1001,"2024-09*")</f>
        <v>0</v>
      </c>
      <c r="O116" s="8" t="str">
        <f t="shared" si="11"/>
        <v>A</v>
      </c>
      <c r="P116" s="8" t="str">
        <f t="shared" si="12"/>
        <v>Z</v>
      </c>
      <c r="Q116" s="9">
        <f t="shared" si="13"/>
        <v>486425</v>
      </c>
    </row>
    <row r="117" spans="1:17" ht="14.25" customHeight="1" x14ac:dyDescent="0.25">
      <c r="A117" s="5" t="s">
        <v>432</v>
      </c>
      <c r="B117" s="5">
        <f>SUMIFS(Данные!$D$2:$D$1001,Данные!$B$2:$B$1001,$A117,Данные!$C$2:$C$1001,"2023-09*")</f>
        <v>0</v>
      </c>
      <c r="C117" s="5">
        <f>SUMIFS(Данные!$D$2:$D$1001,Данные!$B$2:$B$1001,$A117,Данные!$C$2:$C$1001,"2023-10*")</f>
        <v>0</v>
      </c>
      <c r="D117" s="5">
        <f>SUMIFS(Данные!$D$2:$D$1001,Данные!$B$2:$B$1001,$A117,Данные!$C$2:$C$1001,"2023-11*")</f>
        <v>0</v>
      </c>
      <c r="E117" s="5">
        <f>SUMIFS(Данные!$D$2:$D$1001,Данные!$B$2:$B$1001,$A117,Данные!$C$2:$C$1001,"2023-12*")</f>
        <v>0</v>
      </c>
      <c r="F117" s="5">
        <f>SUMIFS(Данные!$D$2:$D$1001,Данные!$B$2:$B$1001,$A117,Данные!$C$2:$C$1001,"2024-01*")</f>
        <v>0</v>
      </c>
      <c r="G117" s="5">
        <f>SUMIFS(Данные!$D$2:$D$1001,Данные!$B$2:$B$1001,$A117,Данные!$C$2:$C$1001,"2024-02*")</f>
        <v>0</v>
      </c>
      <c r="H117" s="5">
        <f>SUMIFS(Данные!$D$2:$D$1001,Данные!$B$2:$B$1001,$A117,Данные!$C$2:$C$1001,"2024-03*")</f>
        <v>0</v>
      </c>
      <c r="I117" s="5">
        <f>SUMIFS(Данные!$D$2:$D$1001,Данные!$B$2:$B$1001,$A117,Данные!$C$2:$C$1001,"2024-04*")</f>
        <v>0</v>
      </c>
      <c r="J117" s="5">
        <f>SUMIFS(Данные!$D$2:$D$1001,Данные!$B$2:$B$1001,$A117,Данные!$C$2:$C$1001,"2024-05*")</f>
        <v>0</v>
      </c>
      <c r="K117" s="5">
        <f>SUMIFS(Данные!$D$2:$D$1001,Данные!$B$2:$B$1001,$A117,Данные!$C$2:$C$1001,"2024-06*")</f>
        <v>0</v>
      </c>
      <c r="L117" s="5">
        <f>SUMIFS(Данные!$D$2:$D$1001,Данные!$B$2:$B$1001,$A117,Данные!$C$2:$C$1001,"2024-07*")</f>
        <v>39813</v>
      </c>
      <c r="M117" s="5">
        <f>SUMIFS(Данные!$D$2:$D$1001,Данные!$B$2:$B$1001,$A117,Данные!$C$2:$C$1001,"2024-08*")</f>
        <v>0</v>
      </c>
      <c r="N117" s="5">
        <f>SUMIFS(Данные!$D$2:$D$1001,Данные!$B$2:$B$1001,$A117,Данные!$C$2:$C$1001,"2024-09*")</f>
        <v>0</v>
      </c>
      <c r="O117" s="8" t="str">
        <f t="shared" si="11"/>
        <v>C</v>
      </c>
      <c r="P117" s="8" t="str">
        <f t="shared" si="12"/>
        <v>Z</v>
      </c>
      <c r="Q117" s="9">
        <f t="shared" si="13"/>
        <v>39813</v>
      </c>
    </row>
    <row r="118" spans="1:17" ht="14.25" customHeight="1" x14ac:dyDescent="0.25">
      <c r="A118" s="5" t="s">
        <v>134</v>
      </c>
      <c r="B118" s="5">
        <f>SUMIFS(Данные!$D$2:$D$1001,Данные!$B$2:$B$1001,$A118,Данные!$C$2:$C$1001,"2023-09*")</f>
        <v>0</v>
      </c>
      <c r="C118" s="5">
        <f>SUMIFS(Данные!$D$2:$D$1001,Данные!$B$2:$B$1001,$A118,Данные!$C$2:$C$1001,"2023-10*")</f>
        <v>134759</v>
      </c>
      <c r="D118" s="5">
        <f>SUMIFS(Данные!$D$2:$D$1001,Данные!$B$2:$B$1001,$A118,Данные!$C$2:$C$1001,"2023-11*")</f>
        <v>0</v>
      </c>
      <c r="E118" s="5">
        <f>SUMIFS(Данные!$D$2:$D$1001,Данные!$B$2:$B$1001,$A118,Данные!$C$2:$C$1001,"2023-12*")</f>
        <v>0</v>
      </c>
      <c r="F118" s="5">
        <f>SUMIFS(Данные!$D$2:$D$1001,Данные!$B$2:$B$1001,$A118,Данные!$C$2:$C$1001,"2024-01*")</f>
        <v>13611</v>
      </c>
      <c r="G118" s="5">
        <f>SUMIFS(Данные!$D$2:$D$1001,Данные!$B$2:$B$1001,$A118,Данные!$C$2:$C$1001,"2024-02*")</f>
        <v>121058</v>
      </c>
      <c r="H118" s="5">
        <f>SUMIFS(Данные!$D$2:$D$1001,Данные!$B$2:$B$1001,$A118,Данные!$C$2:$C$1001,"2024-03*")</f>
        <v>0</v>
      </c>
      <c r="I118" s="5">
        <f>SUMIFS(Данные!$D$2:$D$1001,Данные!$B$2:$B$1001,$A118,Данные!$C$2:$C$1001,"2024-04*")</f>
        <v>55092</v>
      </c>
      <c r="J118" s="5">
        <f>SUMIFS(Данные!$D$2:$D$1001,Данные!$B$2:$B$1001,$A118,Данные!$C$2:$C$1001,"2024-05*")</f>
        <v>0</v>
      </c>
      <c r="K118" s="5">
        <f>SUMIFS(Данные!$D$2:$D$1001,Данные!$B$2:$B$1001,$A118,Данные!$C$2:$C$1001,"2024-06*")</f>
        <v>67748</v>
      </c>
      <c r="L118" s="5">
        <f>SUMIFS(Данные!$D$2:$D$1001,Данные!$B$2:$B$1001,$A118,Данные!$C$2:$C$1001,"2024-07*")</f>
        <v>0</v>
      </c>
      <c r="M118" s="5">
        <f>SUMIFS(Данные!$D$2:$D$1001,Данные!$B$2:$B$1001,$A118,Данные!$C$2:$C$1001,"2024-08*")</f>
        <v>0</v>
      </c>
      <c r="N118" s="5">
        <f>SUMIFS(Данные!$D$2:$D$1001,Данные!$B$2:$B$1001,$A118,Данные!$C$2:$C$1001,"2024-09*")</f>
        <v>0</v>
      </c>
      <c r="O118" s="8" t="str">
        <f t="shared" si="11"/>
        <v>A</v>
      </c>
      <c r="P118" s="8" t="str">
        <f t="shared" si="12"/>
        <v>Z</v>
      </c>
      <c r="Q118" s="9">
        <f t="shared" si="13"/>
        <v>392268</v>
      </c>
    </row>
    <row r="119" spans="1:17" ht="14.25" customHeight="1" x14ac:dyDescent="0.25">
      <c r="A119" s="5" t="s">
        <v>133</v>
      </c>
      <c r="B119" s="5">
        <f>SUMIFS(Данные!$D$2:$D$1001,Данные!$B$2:$B$1001,$A119,Данные!$C$2:$C$1001,"2023-09*")</f>
        <v>0</v>
      </c>
      <c r="C119" s="5">
        <f>SUMIFS(Данные!$D$2:$D$1001,Данные!$B$2:$B$1001,$A119,Данные!$C$2:$C$1001,"2023-10*")</f>
        <v>93667</v>
      </c>
      <c r="D119" s="5">
        <f>SUMIFS(Данные!$D$2:$D$1001,Данные!$B$2:$B$1001,$A119,Данные!$C$2:$C$1001,"2023-11*")</f>
        <v>0</v>
      </c>
      <c r="E119" s="5">
        <f>SUMIFS(Данные!$D$2:$D$1001,Данные!$B$2:$B$1001,$A119,Данные!$C$2:$C$1001,"2023-12*")</f>
        <v>0</v>
      </c>
      <c r="F119" s="5">
        <f>SUMIFS(Данные!$D$2:$D$1001,Данные!$B$2:$B$1001,$A119,Данные!$C$2:$C$1001,"2024-01*")</f>
        <v>17175</v>
      </c>
      <c r="G119" s="5">
        <f>SUMIFS(Данные!$D$2:$D$1001,Данные!$B$2:$B$1001,$A119,Данные!$C$2:$C$1001,"2024-02*")</f>
        <v>0</v>
      </c>
      <c r="H119" s="5">
        <f>SUMIFS(Данные!$D$2:$D$1001,Данные!$B$2:$B$1001,$A119,Данные!$C$2:$C$1001,"2024-03*")</f>
        <v>0</v>
      </c>
      <c r="I119" s="5">
        <f>SUMIFS(Данные!$D$2:$D$1001,Данные!$B$2:$B$1001,$A119,Данные!$C$2:$C$1001,"2024-04*")</f>
        <v>11150</v>
      </c>
      <c r="J119" s="5">
        <f>SUMIFS(Данные!$D$2:$D$1001,Данные!$B$2:$B$1001,$A119,Данные!$C$2:$C$1001,"2024-05*")</f>
        <v>94036</v>
      </c>
      <c r="K119" s="5">
        <f>SUMIFS(Данные!$D$2:$D$1001,Данные!$B$2:$B$1001,$A119,Данные!$C$2:$C$1001,"2024-06*")</f>
        <v>0</v>
      </c>
      <c r="L119" s="5">
        <f>SUMIFS(Данные!$D$2:$D$1001,Данные!$B$2:$B$1001,$A119,Данные!$C$2:$C$1001,"2024-07*")</f>
        <v>95563</v>
      </c>
      <c r="M119" s="5">
        <f>SUMIFS(Данные!$D$2:$D$1001,Данные!$B$2:$B$1001,$A119,Данные!$C$2:$C$1001,"2024-08*")</f>
        <v>0</v>
      </c>
      <c r="N119" s="5">
        <f>SUMIFS(Данные!$D$2:$D$1001,Данные!$B$2:$B$1001,$A119,Данные!$C$2:$C$1001,"2024-09*")</f>
        <v>0</v>
      </c>
      <c r="O119" s="8" t="str">
        <f t="shared" si="11"/>
        <v>A</v>
      </c>
      <c r="P119" s="8" t="str">
        <f t="shared" si="12"/>
        <v>Z</v>
      </c>
      <c r="Q119" s="9">
        <f t="shared" si="13"/>
        <v>311591</v>
      </c>
    </row>
    <row r="120" spans="1:17" ht="14.25" customHeight="1" x14ac:dyDescent="0.25">
      <c r="A120" s="5" t="s">
        <v>373</v>
      </c>
      <c r="B120" s="5">
        <f>SUMIFS(Данные!$D$2:$D$1001,Данные!$B$2:$B$1001,$A120,Данные!$C$2:$C$1001,"2023-09*")</f>
        <v>0</v>
      </c>
      <c r="C120" s="5">
        <f>SUMIFS(Данные!$D$2:$D$1001,Данные!$B$2:$B$1001,$A120,Данные!$C$2:$C$1001,"2023-10*")</f>
        <v>0</v>
      </c>
      <c r="D120" s="5">
        <f>SUMIFS(Данные!$D$2:$D$1001,Данные!$B$2:$B$1001,$A120,Данные!$C$2:$C$1001,"2023-11*")</f>
        <v>0</v>
      </c>
      <c r="E120" s="5">
        <f>SUMIFS(Данные!$D$2:$D$1001,Данные!$B$2:$B$1001,$A120,Данные!$C$2:$C$1001,"2023-12*")</f>
        <v>0</v>
      </c>
      <c r="F120" s="5">
        <f>SUMIFS(Данные!$D$2:$D$1001,Данные!$B$2:$B$1001,$A120,Данные!$C$2:$C$1001,"2024-01*")</f>
        <v>0</v>
      </c>
      <c r="G120" s="5">
        <f>SUMIFS(Данные!$D$2:$D$1001,Данные!$B$2:$B$1001,$A120,Данные!$C$2:$C$1001,"2024-02*")</f>
        <v>0</v>
      </c>
      <c r="H120" s="5">
        <f>SUMIFS(Данные!$D$2:$D$1001,Данные!$B$2:$B$1001,$A120,Данные!$C$2:$C$1001,"2024-03*")</f>
        <v>0</v>
      </c>
      <c r="I120" s="5">
        <f>SUMIFS(Данные!$D$2:$D$1001,Данные!$B$2:$B$1001,$A120,Данные!$C$2:$C$1001,"2024-04*")</f>
        <v>96049</v>
      </c>
      <c r="J120" s="5">
        <f>SUMIFS(Данные!$D$2:$D$1001,Данные!$B$2:$B$1001,$A120,Данные!$C$2:$C$1001,"2024-05*")</f>
        <v>46887</v>
      </c>
      <c r="K120" s="5">
        <f>SUMIFS(Данные!$D$2:$D$1001,Данные!$B$2:$B$1001,$A120,Данные!$C$2:$C$1001,"2024-06*")</f>
        <v>30300</v>
      </c>
      <c r="L120" s="5">
        <f>SUMIFS(Данные!$D$2:$D$1001,Данные!$B$2:$B$1001,$A120,Данные!$C$2:$C$1001,"2024-07*")</f>
        <v>150694</v>
      </c>
      <c r="M120" s="5">
        <f>SUMIFS(Данные!$D$2:$D$1001,Данные!$B$2:$B$1001,$A120,Данные!$C$2:$C$1001,"2024-08*")</f>
        <v>0</v>
      </c>
      <c r="N120" s="5">
        <f>SUMIFS(Данные!$D$2:$D$1001,Данные!$B$2:$B$1001,$A120,Данные!$C$2:$C$1001,"2024-09*")</f>
        <v>0</v>
      </c>
      <c r="O120" s="8" t="str">
        <f t="shared" si="11"/>
        <v>A</v>
      </c>
      <c r="P120" s="8" t="str">
        <f t="shared" si="12"/>
        <v>Z</v>
      </c>
      <c r="Q120" s="9">
        <f t="shared" si="13"/>
        <v>323930</v>
      </c>
    </row>
    <row r="121" spans="1:17" ht="14.25" customHeight="1" x14ac:dyDescent="0.25">
      <c r="A121" s="5" t="s">
        <v>100</v>
      </c>
      <c r="B121" s="5">
        <f>SUMIFS(Данные!$D$2:$D$1001,Данные!$B$2:$B$1001,$A121,Данные!$C$2:$C$1001,"2023-09*")</f>
        <v>57826</v>
      </c>
      <c r="C121" s="5">
        <f>SUMIFS(Данные!$D$2:$D$1001,Данные!$B$2:$B$1001,$A121,Данные!$C$2:$C$1001,"2023-10*")</f>
        <v>0</v>
      </c>
      <c r="D121" s="5">
        <f>SUMIFS(Данные!$D$2:$D$1001,Данные!$B$2:$B$1001,$A121,Данные!$C$2:$C$1001,"2023-11*")</f>
        <v>0</v>
      </c>
      <c r="E121" s="5">
        <f>SUMIFS(Данные!$D$2:$D$1001,Данные!$B$2:$B$1001,$A121,Данные!$C$2:$C$1001,"2023-12*")</f>
        <v>52894</v>
      </c>
      <c r="F121" s="5">
        <f>SUMIFS(Данные!$D$2:$D$1001,Данные!$B$2:$B$1001,$A121,Данные!$C$2:$C$1001,"2024-01*")</f>
        <v>0</v>
      </c>
      <c r="G121" s="5">
        <f>SUMIFS(Данные!$D$2:$D$1001,Данные!$B$2:$B$1001,$A121,Данные!$C$2:$C$1001,"2024-02*")</f>
        <v>0</v>
      </c>
      <c r="H121" s="5">
        <f>SUMIFS(Данные!$D$2:$D$1001,Данные!$B$2:$B$1001,$A121,Данные!$C$2:$C$1001,"2024-03*")</f>
        <v>51776</v>
      </c>
      <c r="I121" s="5">
        <f>SUMIFS(Данные!$D$2:$D$1001,Данные!$B$2:$B$1001,$A121,Данные!$C$2:$C$1001,"2024-04*")</f>
        <v>0</v>
      </c>
      <c r="J121" s="5">
        <f>SUMIFS(Данные!$D$2:$D$1001,Данные!$B$2:$B$1001,$A121,Данные!$C$2:$C$1001,"2024-05*")</f>
        <v>0</v>
      </c>
      <c r="K121" s="5">
        <f>SUMIFS(Данные!$D$2:$D$1001,Данные!$B$2:$B$1001,$A121,Данные!$C$2:$C$1001,"2024-06*")</f>
        <v>0</v>
      </c>
      <c r="L121" s="5">
        <f>SUMIFS(Данные!$D$2:$D$1001,Данные!$B$2:$B$1001,$A121,Данные!$C$2:$C$1001,"2024-07*")</f>
        <v>0</v>
      </c>
      <c r="M121" s="5">
        <f>SUMIFS(Данные!$D$2:$D$1001,Данные!$B$2:$B$1001,$A121,Данные!$C$2:$C$1001,"2024-08*")</f>
        <v>24999</v>
      </c>
      <c r="N121" s="5">
        <f>SUMIFS(Данные!$D$2:$D$1001,Данные!$B$2:$B$1001,$A121,Данные!$C$2:$C$1001,"2024-09*")</f>
        <v>0</v>
      </c>
      <c r="O121" s="8" t="str">
        <f t="shared" si="11"/>
        <v>B</v>
      </c>
      <c r="P121" s="8" t="str">
        <f t="shared" si="12"/>
        <v>Z</v>
      </c>
      <c r="Q121" s="9">
        <f t="shared" si="13"/>
        <v>187495</v>
      </c>
    </row>
    <row r="122" spans="1:17" ht="14.25" customHeight="1" x14ac:dyDescent="0.25">
      <c r="A122" s="5" t="s">
        <v>46</v>
      </c>
      <c r="B122" s="5">
        <f>SUMIFS(Данные!$D$2:$D$1001,Данные!$B$2:$B$1001,$A122,Данные!$C$2:$C$1001,"2023-09*")</f>
        <v>290568</v>
      </c>
      <c r="C122" s="5">
        <f>SUMIFS(Данные!$D$2:$D$1001,Данные!$B$2:$B$1001,$A122,Данные!$C$2:$C$1001,"2023-10*")</f>
        <v>0</v>
      </c>
      <c r="D122" s="5">
        <f>SUMIFS(Данные!$D$2:$D$1001,Данные!$B$2:$B$1001,$A122,Данные!$C$2:$C$1001,"2023-11*")</f>
        <v>0</v>
      </c>
      <c r="E122" s="5">
        <f>SUMIFS(Данные!$D$2:$D$1001,Данные!$B$2:$B$1001,$A122,Данные!$C$2:$C$1001,"2023-12*")</f>
        <v>0</v>
      </c>
      <c r="F122" s="5">
        <f>SUMIFS(Данные!$D$2:$D$1001,Данные!$B$2:$B$1001,$A122,Данные!$C$2:$C$1001,"2024-01*")</f>
        <v>0</v>
      </c>
      <c r="G122" s="5">
        <f>SUMIFS(Данные!$D$2:$D$1001,Данные!$B$2:$B$1001,$A122,Данные!$C$2:$C$1001,"2024-02*")</f>
        <v>0</v>
      </c>
      <c r="H122" s="5">
        <f>SUMIFS(Данные!$D$2:$D$1001,Данные!$B$2:$B$1001,$A122,Данные!$C$2:$C$1001,"2024-03*")</f>
        <v>0</v>
      </c>
      <c r="I122" s="5">
        <f>SUMIFS(Данные!$D$2:$D$1001,Данные!$B$2:$B$1001,$A122,Данные!$C$2:$C$1001,"2024-04*")</f>
        <v>0</v>
      </c>
      <c r="J122" s="5">
        <f>SUMIFS(Данные!$D$2:$D$1001,Данные!$B$2:$B$1001,$A122,Данные!$C$2:$C$1001,"2024-05*")</f>
        <v>80944</v>
      </c>
      <c r="K122" s="5">
        <f>SUMIFS(Данные!$D$2:$D$1001,Данные!$B$2:$B$1001,$A122,Данные!$C$2:$C$1001,"2024-06*")</f>
        <v>0</v>
      </c>
      <c r="L122" s="5">
        <f>SUMIFS(Данные!$D$2:$D$1001,Данные!$B$2:$B$1001,$A122,Данные!$C$2:$C$1001,"2024-07*")</f>
        <v>13899</v>
      </c>
      <c r="M122" s="5">
        <f>SUMIFS(Данные!$D$2:$D$1001,Данные!$B$2:$B$1001,$A122,Данные!$C$2:$C$1001,"2024-08*")</f>
        <v>0</v>
      </c>
      <c r="N122" s="5">
        <f>SUMIFS(Данные!$D$2:$D$1001,Данные!$B$2:$B$1001,$A122,Данные!$C$2:$C$1001,"2024-09*")</f>
        <v>0</v>
      </c>
      <c r="O122" s="8" t="str">
        <f t="shared" si="11"/>
        <v>A</v>
      </c>
      <c r="P122" s="8" t="str">
        <f t="shared" si="12"/>
        <v>Z</v>
      </c>
      <c r="Q122" s="9">
        <f t="shared" si="13"/>
        <v>385411</v>
      </c>
    </row>
    <row r="123" spans="1:17" ht="14.25" customHeight="1" x14ac:dyDescent="0.25">
      <c r="A123" s="5" t="s">
        <v>28</v>
      </c>
      <c r="B123" s="5">
        <f>SUMIFS(Данные!$D$2:$D$1001,Данные!$B$2:$B$1001,$A123,Данные!$C$2:$C$1001,"2023-09*")</f>
        <v>11860</v>
      </c>
      <c r="C123" s="5">
        <f>SUMIFS(Данные!$D$2:$D$1001,Данные!$B$2:$B$1001,$A123,Данные!$C$2:$C$1001,"2023-10*")</f>
        <v>17943</v>
      </c>
      <c r="D123" s="5">
        <f>SUMIFS(Данные!$D$2:$D$1001,Данные!$B$2:$B$1001,$A123,Данные!$C$2:$C$1001,"2023-11*")</f>
        <v>0</v>
      </c>
      <c r="E123" s="5">
        <f>SUMIFS(Данные!$D$2:$D$1001,Данные!$B$2:$B$1001,$A123,Данные!$C$2:$C$1001,"2023-12*")</f>
        <v>0</v>
      </c>
      <c r="F123" s="5">
        <f>SUMIFS(Данные!$D$2:$D$1001,Данные!$B$2:$B$1001,$A123,Данные!$C$2:$C$1001,"2024-01*")</f>
        <v>93809</v>
      </c>
      <c r="G123" s="5">
        <f>SUMIFS(Данные!$D$2:$D$1001,Данные!$B$2:$B$1001,$A123,Данные!$C$2:$C$1001,"2024-02*")</f>
        <v>0</v>
      </c>
      <c r="H123" s="5">
        <f>SUMIFS(Данные!$D$2:$D$1001,Данные!$B$2:$B$1001,$A123,Данные!$C$2:$C$1001,"2024-03*")</f>
        <v>0</v>
      </c>
      <c r="I123" s="5">
        <f>SUMIFS(Данные!$D$2:$D$1001,Данные!$B$2:$B$1001,$A123,Данные!$C$2:$C$1001,"2024-04*")</f>
        <v>0</v>
      </c>
      <c r="J123" s="5">
        <f>SUMIFS(Данные!$D$2:$D$1001,Данные!$B$2:$B$1001,$A123,Данные!$C$2:$C$1001,"2024-05*")</f>
        <v>0</v>
      </c>
      <c r="K123" s="5">
        <f>SUMIFS(Данные!$D$2:$D$1001,Данные!$B$2:$B$1001,$A123,Данные!$C$2:$C$1001,"2024-06*")</f>
        <v>0</v>
      </c>
      <c r="L123" s="5">
        <f>SUMIFS(Данные!$D$2:$D$1001,Данные!$B$2:$B$1001,$A123,Данные!$C$2:$C$1001,"2024-07*")</f>
        <v>0</v>
      </c>
      <c r="M123" s="5">
        <f>SUMIFS(Данные!$D$2:$D$1001,Данные!$B$2:$B$1001,$A123,Данные!$C$2:$C$1001,"2024-08*")</f>
        <v>52808</v>
      </c>
      <c r="N123" s="5">
        <f>SUMIFS(Данные!$D$2:$D$1001,Данные!$B$2:$B$1001,$A123,Данные!$C$2:$C$1001,"2024-09*")</f>
        <v>0</v>
      </c>
      <c r="O123" s="8" t="str">
        <f t="shared" si="11"/>
        <v>B</v>
      </c>
      <c r="P123" s="8" t="str">
        <f t="shared" si="12"/>
        <v>Z</v>
      </c>
      <c r="Q123" s="9">
        <f t="shared" si="13"/>
        <v>176420</v>
      </c>
    </row>
    <row r="124" spans="1:17" ht="14.25" customHeight="1" x14ac:dyDescent="0.25">
      <c r="A124" s="5" t="s">
        <v>79</v>
      </c>
      <c r="B124" s="5">
        <f>SUMIFS(Данные!$D$2:$D$1001,Данные!$B$2:$B$1001,$A124,Данные!$C$2:$C$1001,"2023-09*")</f>
        <v>93722</v>
      </c>
      <c r="C124" s="5">
        <f>SUMIFS(Данные!$D$2:$D$1001,Данные!$B$2:$B$1001,$A124,Данные!$C$2:$C$1001,"2023-10*")</f>
        <v>0</v>
      </c>
      <c r="D124" s="5">
        <f>SUMIFS(Данные!$D$2:$D$1001,Данные!$B$2:$B$1001,$A124,Данные!$C$2:$C$1001,"2023-11*")</f>
        <v>16166</v>
      </c>
      <c r="E124" s="5">
        <f>SUMIFS(Данные!$D$2:$D$1001,Данные!$B$2:$B$1001,$A124,Данные!$C$2:$C$1001,"2023-12*")</f>
        <v>55809</v>
      </c>
      <c r="F124" s="5">
        <f>SUMIFS(Данные!$D$2:$D$1001,Данные!$B$2:$B$1001,$A124,Данные!$C$2:$C$1001,"2024-01*")</f>
        <v>42332</v>
      </c>
      <c r="G124" s="5">
        <f>SUMIFS(Данные!$D$2:$D$1001,Данные!$B$2:$B$1001,$A124,Данные!$C$2:$C$1001,"2024-02*")</f>
        <v>98710</v>
      </c>
      <c r="H124" s="5">
        <f>SUMIFS(Данные!$D$2:$D$1001,Данные!$B$2:$B$1001,$A124,Данные!$C$2:$C$1001,"2024-03*")</f>
        <v>0</v>
      </c>
      <c r="I124" s="5">
        <f>SUMIFS(Данные!$D$2:$D$1001,Данные!$B$2:$B$1001,$A124,Данные!$C$2:$C$1001,"2024-04*")</f>
        <v>0</v>
      </c>
      <c r="J124" s="5">
        <f>SUMIFS(Данные!$D$2:$D$1001,Данные!$B$2:$B$1001,$A124,Данные!$C$2:$C$1001,"2024-05*")</f>
        <v>0</v>
      </c>
      <c r="K124" s="5">
        <f>SUMIFS(Данные!$D$2:$D$1001,Данные!$B$2:$B$1001,$A124,Данные!$C$2:$C$1001,"2024-06*")</f>
        <v>0</v>
      </c>
      <c r="L124" s="5">
        <f>SUMIFS(Данные!$D$2:$D$1001,Данные!$B$2:$B$1001,$A124,Данные!$C$2:$C$1001,"2024-07*")</f>
        <v>85650</v>
      </c>
      <c r="M124" s="5">
        <f>SUMIFS(Данные!$D$2:$D$1001,Данные!$B$2:$B$1001,$A124,Данные!$C$2:$C$1001,"2024-08*")</f>
        <v>0</v>
      </c>
      <c r="N124" s="5">
        <f>SUMIFS(Данные!$D$2:$D$1001,Данные!$B$2:$B$1001,$A124,Данные!$C$2:$C$1001,"2024-09*")</f>
        <v>0</v>
      </c>
      <c r="O124" s="8" t="str">
        <f t="shared" si="11"/>
        <v>A</v>
      </c>
      <c r="P124" s="8" t="str">
        <f t="shared" si="12"/>
        <v>Z</v>
      </c>
      <c r="Q124" s="9">
        <f t="shared" si="13"/>
        <v>392389</v>
      </c>
    </row>
    <row r="125" spans="1:17" ht="14.25" customHeight="1" x14ac:dyDescent="0.25">
      <c r="A125" s="5" t="s">
        <v>220</v>
      </c>
      <c r="B125" s="5">
        <f>SUMIFS(Данные!$D$2:$D$1001,Данные!$B$2:$B$1001,$A125,Данные!$C$2:$C$1001,"2023-09*")</f>
        <v>0</v>
      </c>
      <c r="C125" s="5">
        <f>SUMIFS(Данные!$D$2:$D$1001,Данные!$B$2:$B$1001,$A125,Данные!$C$2:$C$1001,"2023-10*")</f>
        <v>0</v>
      </c>
      <c r="D125" s="5">
        <f>SUMIFS(Данные!$D$2:$D$1001,Данные!$B$2:$B$1001,$A125,Данные!$C$2:$C$1001,"2023-11*")</f>
        <v>0</v>
      </c>
      <c r="E125" s="5">
        <f>SUMIFS(Данные!$D$2:$D$1001,Данные!$B$2:$B$1001,$A125,Данные!$C$2:$C$1001,"2023-12*")</f>
        <v>77950</v>
      </c>
      <c r="F125" s="5">
        <f>SUMIFS(Данные!$D$2:$D$1001,Данные!$B$2:$B$1001,$A125,Данные!$C$2:$C$1001,"2024-01*")</f>
        <v>0</v>
      </c>
      <c r="G125" s="5">
        <f>SUMIFS(Данные!$D$2:$D$1001,Данные!$B$2:$B$1001,$A125,Данные!$C$2:$C$1001,"2024-02*")</f>
        <v>45110</v>
      </c>
      <c r="H125" s="5">
        <f>SUMIFS(Данные!$D$2:$D$1001,Данные!$B$2:$B$1001,$A125,Данные!$C$2:$C$1001,"2024-03*")</f>
        <v>48486</v>
      </c>
      <c r="I125" s="5">
        <f>SUMIFS(Данные!$D$2:$D$1001,Данные!$B$2:$B$1001,$A125,Данные!$C$2:$C$1001,"2024-04*")</f>
        <v>0</v>
      </c>
      <c r="J125" s="5">
        <f>SUMIFS(Данные!$D$2:$D$1001,Данные!$B$2:$B$1001,$A125,Данные!$C$2:$C$1001,"2024-05*")</f>
        <v>0</v>
      </c>
      <c r="K125" s="5">
        <f>SUMIFS(Данные!$D$2:$D$1001,Данные!$B$2:$B$1001,$A125,Данные!$C$2:$C$1001,"2024-06*")</f>
        <v>87724</v>
      </c>
      <c r="L125" s="5">
        <f>SUMIFS(Данные!$D$2:$D$1001,Данные!$B$2:$B$1001,$A125,Данные!$C$2:$C$1001,"2024-07*")</f>
        <v>0</v>
      </c>
      <c r="M125" s="5">
        <f>SUMIFS(Данные!$D$2:$D$1001,Данные!$B$2:$B$1001,$A125,Данные!$C$2:$C$1001,"2024-08*")</f>
        <v>0</v>
      </c>
      <c r="N125" s="5">
        <f>SUMIFS(Данные!$D$2:$D$1001,Данные!$B$2:$B$1001,$A125,Данные!$C$2:$C$1001,"2024-09*")</f>
        <v>0</v>
      </c>
      <c r="O125" s="8" t="str">
        <f t="shared" si="11"/>
        <v>A</v>
      </c>
      <c r="P125" s="8" t="str">
        <f t="shared" si="12"/>
        <v>Z</v>
      </c>
      <c r="Q125" s="9">
        <f t="shared" si="13"/>
        <v>259270</v>
      </c>
    </row>
    <row r="126" spans="1:17" ht="14.25" customHeight="1" x14ac:dyDescent="0.25">
      <c r="A126" s="5" t="s">
        <v>83</v>
      </c>
      <c r="B126" s="5">
        <f>SUMIFS(Данные!$D$2:$D$1001,Данные!$B$2:$B$1001,$A126,Данные!$C$2:$C$1001,"2023-09*")</f>
        <v>173564</v>
      </c>
      <c r="C126" s="5">
        <f>SUMIFS(Данные!$D$2:$D$1001,Данные!$B$2:$B$1001,$A126,Данные!$C$2:$C$1001,"2023-10*")</f>
        <v>0</v>
      </c>
      <c r="D126" s="5">
        <f>SUMIFS(Данные!$D$2:$D$1001,Данные!$B$2:$B$1001,$A126,Данные!$C$2:$C$1001,"2023-11*")</f>
        <v>0</v>
      </c>
      <c r="E126" s="5">
        <f>SUMIFS(Данные!$D$2:$D$1001,Данные!$B$2:$B$1001,$A126,Данные!$C$2:$C$1001,"2023-12*")</f>
        <v>17820</v>
      </c>
      <c r="F126" s="5">
        <f>SUMIFS(Данные!$D$2:$D$1001,Данные!$B$2:$B$1001,$A126,Данные!$C$2:$C$1001,"2024-01*")</f>
        <v>57049</v>
      </c>
      <c r="G126" s="5">
        <f>SUMIFS(Данные!$D$2:$D$1001,Данные!$B$2:$B$1001,$A126,Данные!$C$2:$C$1001,"2024-02*")</f>
        <v>0</v>
      </c>
      <c r="H126" s="5">
        <f>SUMIFS(Данные!$D$2:$D$1001,Данные!$B$2:$B$1001,$A126,Данные!$C$2:$C$1001,"2024-03*")</f>
        <v>0</v>
      </c>
      <c r="I126" s="5">
        <f>SUMIFS(Данные!$D$2:$D$1001,Данные!$B$2:$B$1001,$A126,Данные!$C$2:$C$1001,"2024-04*")</f>
        <v>119322</v>
      </c>
      <c r="J126" s="5">
        <f>SUMIFS(Данные!$D$2:$D$1001,Данные!$B$2:$B$1001,$A126,Данные!$C$2:$C$1001,"2024-05*")</f>
        <v>56002</v>
      </c>
      <c r="K126" s="5">
        <f>SUMIFS(Данные!$D$2:$D$1001,Данные!$B$2:$B$1001,$A126,Данные!$C$2:$C$1001,"2024-06*")</f>
        <v>68264</v>
      </c>
      <c r="L126" s="5">
        <f>SUMIFS(Данные!$D$2:$D$1001,Данные!$B$2:$B$1001,$A126,Данные!$C$2:$C$1001,"2024-07*")</f>
        <v>0</v>
      </c>
      <c r="M126" s="5">
        <f>SUMIFS(Данные!$D$2:$D$1001,Данные!$B$2:$B$1001,$A126,Данные!$C$2:$C$1001,"2024-08*")</f>
        <v>0</v>
      </c>
      <c r="N126" s="5">
        <f>SUMIFS(Данные!$D$2:$D$1001,Данные!$B$2:$B$1001,$A126,Данные!$C$2:$C$1001,"2024-09*")</f>
        <v>0</v>
      </c>
      <c r="O126" s="8" t="str">
        <f t="shared" si="11"/>
        <v>A</v>
      </c>
      <c r="P126" s="8" t="str">
        <f t="shared" si="12"/>
        <v>Z</v>
      </c>
      <c r="Q126" s="9">
        <f t="shared" si="13"/>
        <v>492021</v>
      </c>
    </row>
    <row r="127" spans="1:17" ht="14.25" customHeight="1" x14ac:dyDescent="0.25">
      <c r="A127" s="5" t="s">
        <v>67</v>
      </c>
      <c r="B127" s="5">
        <f>SUMIFS(Данные!$D$2:$D$1001,Данные!$B$2:$B$1001,$A127,Данные!$C$2:$C$1001,"2023-09*")</f>
        <v>23096</v>
      </c>
      <c r="C127" s="5">
        <f>SUMIFS(Данные!$D$2:$D$1001,Данные!$B$2:$B$1001,$A127,Данные!$C$2:$C$1001,"2023-10*")</f>
        <v>0</v>
      </c>
      <c r="D127" s="5">
        <f>SUMIFS(Данные!$D$2:$D$1001,Данные!$B$2:$B$1001,$A127,Данные!$C$2:$C$1001,"2023-11*")</f>
        <v>38241</v>
      </c>
      <c r="E127" s="5">
        <f>SUMIFS(Данные!$D$2:$D$1001,Данные!$B$2:$B$1001,$A127,Данные!$C$2:$C$1001,"2023-12*")</f>
        <v>0</v>
      </c>
      <c r="F127" s="5">
        <f>SUMIFS(Данные!$D$2:$D$1001,Данные!$B$2:$B$1001,$A127,Данные!$C$2:$C$1001,"2024-01*")</f>
        <v>75232</v>
      </c>
      <c r="G127" s="5">
        <f>SUMIFS(Данные!$D$2:$D$1001,Данные!$B$2:$B$1001,$A127,Данные!$C$2:$C$1001,"2024-02*")</f>
        <v>54503</v>
      </c>
      <c r="H127" s="5">
        <f>SUMIFS(Данные!$D$2:$D$1001,Данные!$B$2:$B$1001,$A127,Данные!$C$2:$C$1001,"2024-03*")</f>
        <v>46012</v>
      </c>
      <c r="I127" s="5">
        <f>SUMIFS(Данные!$D$2:$D$1001,Данные!$B$2:$B$1001,$A127,Данные!$C$2:$C$1001,"2024-04*")</f>
        <v>0</v>
      </c>
      <c r="J127" s="5">
        <f>SUMIFS(Данные!$D$2:$D$1001,Данные!$B$2:$B$1001,$A127,Данные!$C$2:$C$1001,"2024-05*")</f>
        <v>26111</v>
      </c>
      <c r="K127" s="5">
        <f>SUMIFS(Данные!$D$2:$D$1001,Данные!$B$2:$B$1001,$A127,Данные!$C$2:$C$1001,"2024-06*")</f>
        <v>65393</v>
      </c>
      <c r="L127" s="5">
        <f>SUMIFS(Данные!$D$2:$D$1001,Данные!$B$2:$B$1001,$A127,Данные!$C$2:$C$1001,"2024-07*")</f>
        <v>0</v>
      </c>
      <c r="M127" s="5">
        <f>SUMIFS(Данные!$D$2:$D$1001,Данные!$B$2:$B$1001,$A127,Данные!$C$2:$C$1001,"2024-08*")</f>
        <v>18626</v>
      </c>
      <c r="N127" s="5">
        <f>SUMIFS(Данные!$D$2:$D$1001,Данные!$B$2:$B$1001,$A127,Данные!$C$2:$C$1001,"2024-09*")</f>
        <v>0</v>
      </c>
      <c r="O127" s="8" t="str">
        <f t="shared" si="11"/>
        <v>A</v>
      </c>
      <c r="P127" s="8" t="str">
        <f t="shared" si="12"/>
        <v>Z</v>
      </c>
      <c r="Q127" s="9">
        <f t="shared" si="13"/>
        <v>347214</v>
      </c>
    </row>
    <row r="128" spans="1:17" ht="14.25" customHeight="1" x14ac:dyDescent="0.25">
      <c r="A128" s="5" t="s">
        <v>114</v>
      </c>
      <c r="B128" s="5">
        <f>SUMIFS(Данные!$D$2:$D$1001,Данные!$B$2:$B$1001,$A128,Данные!$C$2:$C$1001,"2023-09*")</f>
        <v>0</v>
      </c>
      <c r="C128" s="5">
        <f>SUMIFS(Данные!$D$2:$D$1001,Данные!$B$2:$B$1001,$A128,Данные!$C$2:$C$1001,"2023-10*")</f>
        <v>94063</v>
      </c>
      <c r="D128" s="5">
        <f>SUMIFS(Данные!$D$2:$D$1001,Данные!$B$2:$B$1001,$A128,Данные!$C$2:$C$1001,"2023-11*")</f>
        <v>24926</v>
      </c>
      <c r="E128" s="5">
        <f>SUMIFS(Данные!$D$2:$D$1001,Данные!$B$2:$B$1001,$A128,Данные!$C$2:$C$1001,"2023-12*")</f>
        <v>77366</v>
      </c>
      <c r="F128" s="5">
        <f>SUMIFS(Данные!$D$2:$D$1001,Данные!$B$2:$B$1001,$A128,Данные!$C$2:$C$1001,"2024-01*")</f>
        <v>64054</v>
      </c>
      <c r="G128" s="5">
        <f>SUMIFS(Данные!$D$2:$D$1001,Данные!$B$2:$B$1001,$A128,Данные!$C$2:$C$1001,"2024-02*")</f>
        <v>0</v>
      </c>
      <c r="H128" s="5">
        <f>SUMIFS(Данные!$D$2:$D$1001,Данные!$B$2:$B$1001,$A128,Данные!$C$2:$C$1001,"2024-03*")</f>
        <v>11512</v>
      </c>
      <c r="I128" s="5">
        <f>SUMIFS(Данные!$D$2:$D$1001,Данные!$B$2:$B$1001,$A128,Данные!$C$2:$C$1001,"2024-04*")</f>
        <v>0</v>
      </c>
      <c r="J128" s="5">
        <f>SUMIFS(Данные!$D$2:$D$1001,Данные!$B$2:$B$1001,$A128,Данные!$C$2:$C$1001,"2024-05*")</f>
        <v>0</v>
      </c>
      <c r="K128" s="5">
        <f>SUMIFS(Данные!$D$2:$D$1001,Данные!$B$2:$B$1001,$A128,Данные!$C$2:$C$1001,"2024-06*")</f>
        <v>0</v>
      </c>
      <c r="L128" s="5">
        <f>SUMIFS(Данные!$D$2:$D$1001,Данные!$B$2:$B$1001,$A128,Данные!$C$2:$C$1001,"2024-07*")</f>
        <v>0</v>
      </c>
      <c r="M128" s="5">
        <f>SUMIFS(Данные!$D$2:$D$1001,Данные!$B$2:$B$1001,$A128,Данные!$C$2:$C$1001,"2024-08*")</f>
        <v>0</v>
      </c>
      <c r="N128" s="5">
        <f>SUMIFS(Данные!$D$2:$D$1001,Данные!$B$2:$B$1001,$A128,Данные!$C$2:$C$1001,"2024-09*")</f>
        <v>0</v>
      </c>
      <c r="O128" s="8" t="str">
        <f t="shared" si="11"/>
        <v>A</v>
      </c>
      <c r="P128" s="8" t="str">
        <f t="shared" si="12"/>
        <v>Z</v>
      </c>
      <c r="Q128" s="9">
        <f t="shared" si="13"/>
        <v>271921</v>
      </c>
    </row>
    <row r="129" spans="1:17" ht="14.25" customHeight="1" x14ac:dyDescent="0.25">
      <c r="A129" s="5" t="s">
        <v>327</v>
      </c>
      <c r="B129" s="5">
        <f>SUMIFS(Данные!$D$2:$D$1001,Данные!$B$2:$B$1001,$A129,Данные!$C$2:$C$1001,"2023-09*")</f>
        <v>0</v>
      </c>
      <c r="C129" s="5">
        <f>SUMIFS(Данные!$D$2:$D$1001,Данные!$B$2:$B$1001,$A129,Данные!$C$2:$C$1001,"2023-10*")</f>
        <v>0</v>
      </c>
      <c r="D129" s="5">
        <f>SUMIFS(Данные!$D$2:$D$1001,Данные!$B$2:$B$1001,$A129,Данные!$C$2:$C$1001,"2023-11*")</f>
        <v>0</v>
      </c>
      <c r="E129" s="5">
        <f>SUMIFS(Данные!$D$2:$D$1001,Данные!$B$2:$B$1001,$A129,Данные!$C$2:$C$1001,"2023-12*")</f>
        <v>0</v>
      </c>
      <c r="F129" s="5">
        <f>SUMIFS(Данные!$D$2:$D$1001,Данные!$B$2:$B$1001,$A129,Данные!$C$2:$C$1001,"2024-01*")</f>
        <v>0</v>
      </c>
      <c r="G129" s="5">
        <f>SUMIFS(Данные!$D$2:$D$1001,Данные!$B$2:$B$1001,$A129,Данные!$C$2:$C$1001,"2024-02*")</f>
        <v>0</v>
      </c>
      <c r="H129" s="5">
        <f>SUMIFS(Данные!$D$2:$D$1001,Данные!$B$2:$B$1001,$A129,Данные!$C$2:$C$1001,"2024-03*")</f>
        <v>68370</v>
      </c>
      <c r="I129" s="5">
        <f>SUMIFS(Данные!$D$2:$D$1001,Данные!$B$2:$B$1001,$A129,Данные!$C$2:$C$1001,"2024-04*")</f>
        <v>0</v>
      </c>
      <c r="J129" s="5">
        <f>SUMIFS(Данные!$D$2:$D$1001,Данные!$B$2:$B$1001,$A129,Данные!$C$2:$C$1001,"2024-05*")</f>
        <v>75985</v>
      </c>
      <c r="K129" s="5">
        <f>SUMIFS(Данные!$D$2:$D$1001,Данные!$B$2:$B$1001,$A129,Данные!$C$2:$C$1001,"2024-06*")</f>
        <v>0</v>
      </c>
      <c r="L129" s="5">
        <f>SUMIFS(Данные!$D$2:$D$1001,Данные!$B$2:$B$1001,$A129,Данные!$C$2:$C$1001,"2024-07*")</f>
        <v>0</v>
      </c>
      <c r="M129" s="5">
        <f>SUMIFS(Данные!$D$2:$D$1001,Данные!$B$2:$B$1001,$A129,Данные!$C$2:$C$1001,"2024-08*")</f>
        <v>0</v>
      </c>
      <c r="N129" s="5">
        <f>SUMIFS(Данные!$D$2:$D$1001,Данные!$B$2:$B$1001,$A129,Данные!$C$2:$C$1001,"2024-09*")</f>
        <v>0</v>
      </c>
      <c r="O129" s="8" t="str">
        <f t="shared" si="11"/>
        <v>B</v>
      </c>
      <c r="P129" s="8" t="str">
        <f t="shared" si="12"/>
        <v>Z</v>
      </c>
      <c r="Q129" s="9">
        <f t="shared" si="13"/>
        <v>144355</v>
      </c>
    </row>
    <row r="130" spans="1:17" ht="14.25" customHeight="1" x14ac:dyDescent="0.25">
      <c r="A130" s="5" t="s">
        <v>19</v>
      </c>
      <c r="B130" s="5">
        <f>SUMIFS(Данные!$D$2:$D$1001,Данные!$B$2:$B$1001,$A130,Данные!$C$2:$C$1001,"2023-09*")</f>
        <v>37288</v>
      </c>
      <c r="C130" s="5">
        <f>SUMIFS(Данные!$D$2:$D$1001,Данные!$B$2:$B$1001,$A130,Данные!$C$2:$C$1001,"2023-10*")</f>
        <v>60260</v>
      </c>
      <c r="D130" s="5">
        <f>SUMIFS(Данные!$D$2:$D$1001,Данные!$B$2:$B$1001,$A130,Данные!$C$2:$C$1001,"2023-11*")</f>
        <v>0</v>
      </c>
      <c r="E130" s="5">
        <f>SUMIFS(Данные!$D$2:$D$1001,Данные!$B$2:$B$1001,$A130,Данные!$C$2:$C$1001,"2023-12*")</f>
        <v>36411</v>
      </c>
      <c r="F130" s="5">
        <f>SUMIFS(Данные!$D$2:$D$1001,Данные!$B$2:$B$1001,$A130,Данные!$C$2:$C$1001,"2024-01*")</f>
        <v>0</v>
      </c>
      <c r="G130" s="5">
        <f>SUMIFS(Данные!$D$2:$D$1001,Данные!$B$2:$B$1001,$A130,Данные!$C$2:$C$1001,"2024-02*")</f>
        <v>0</v>
      </c>
      <c r="H130" s="5">
        <f>SUMIFS(Данные!$D$2:$D$1001,Данные!$B$2:$B$1001,$A130,Данные!$C$2:$C$1001,"2024-03*")</f>
        <v>0</v>
      </c>
      <c r="I130" s="5">
        <f>SUMIFS(Данные!$D$2:$D$1001,Данные!$B$2:$B$1001,$A130,Данные!$C$2:$C$1001,"2024-04*")</f>
        <v>0</v>
      </c>
      <c r="J130" s="5">
        <f>SUMIFS(Данные!$D$2:$D$1001,Данные!$B$2:$B$1001,$A130,Данные!$C$2:$C$1001,"2024-05*")</f>
        <v>0</v>
      </c>
      <c r="K130" s="5">
        <f>SUMIFS(Данные!$D$2:$D$1001,Данные!$B$2:$B$1001,$A130,Данные!$C$2:$C$1001,"2024-06*")</f>
        <v>0</v>
      </c>
      <c r="L130" s="5">
        <f>SUMIFS(Данные!$D$2:$D$1001,Данные!$B$2:$B$1001,$A130,Данные!$C$2:$C$1001,"2024-07*")</f>
        <v>0</v>
      </c>
      <c r="M130" s="5">
        <f>SUMIFS(Данные!$D$2:$D$1001,Данные!$B$2:$B$1001,$A130,Данные!$C$2:$C$1001,"2024-08*")</f>
        <v>0</v>
      </c>
      <c r="N130" s="5">
        <f>SUMIFS(Данные!$D$2:$D$1001,Данные!$B$2:$B$1001,$A130,Данные!$C$2:$C$1001,"2024-09*")</f>
        <v>0</v>
      </c>
      <c r="O130" s="8" t="str">
        <f t="shared" ref="O130:O161" si="14">IF(SUMPRODUCT(($Q$2:$Q$198&gt;=Q130)*$Q$2:$Q$198)/SUM($Q$2:$Q$198)&lt;=80%,"A",IF(SUMPRODUCT(($Q$2:$Q$198&gt;=Q130)*$Q$2:$Q$198)/SUM($Q$2:$Q$198)&lt;=95%,"B","C"))</f>
        <v>C</v>
      </c>
      <c r="P130" s="8" t="str">
        <f t="shared" ref="P130:P161" si="15">IFERROR(IF(SQRT(SUMPRODUCT((B130:N130-AVERAGE(B130:N130))^2)/(COUNT(B130:N130)-1))/AVERAGE(B130:N130)&lt;=10%,"X",IF(SQRT(SUMPRODUCT((B130:N130-AVERAGE(B130:N130))^2)/(COUNT(B130:N130)-1))/AVERAGE(B130:N130)&lt;=25%,"Y","Z")),"Z")</f>
        <v>Z</v>
      </c>
      <c r="Q130" s="9">
        <f t="shared" ref="Q130:Q161" si="16">SUM(B130:N130)</f>
        <v>133959</v>
      </c>
    </row>
    <row r="131" spans="1:17" ht="14.25" customHeight="1" x14ac:dyDescent="0.25">
      <c r="A131" s="5" t="s">
        <v>259</v>
      </c>
      <c r="B131" s="5">
        <f>SUMIFS(Данные!$D$2:$D$1001,Данные!$B$2:$B$1001,$A131,Данные!$C$2:$C$1001,"2023-09*")</f>
        <v>0</v>
      </c>
      <c r="C131" s="5">
        <f>SUMIFS(Данные!$D$2:$D$1001,Данные!$B$2:$B$1001,$A131,Данные!$C$2:$C$1001,"2023-10*")</f>
        <v>0</v>
      </c>
      <c r="D131" s="5">
        <f>SUMIFS(Данные!$D$2:$D$1001,Данные!$B$2:$B$1001,$A131,Данные!$C$2:$C$1001,"2023-11*")</f>
        <v>0</v>
      </c>
      <c r="E131" s="5">
        <f>SUMIFS(Данные!$D$2:$D$1001,Данные!$B$2:$B$1001,$A131,Данные!$C$2:$C$1001,"2023-12*")</f>
        <v>0</v>
      </c>
      <c r="F131" s="5">
        <f>SUMIFS(Данные!$D$2:$D$1001,Данные!$B$2:$B$1001,$A131,Данные!$C$2:$C$1001,"2024-01*")</f>
        <v>57033</v>
      </c>
      <c r="G131" s="5">
        <f>SUMIFS(Данные!$D$2:$D$1001,Данные!$B$2:$B$1001,$A131,Данные!$C$2:$C$1001,"2024-02*")</f>
        <v>0</v>
      </c>
      <c r="H131" s="5">
        <f>SUMIFS(Данные!$D$2:$D$1001,Данные!$B$2:$B$1001,$A131,Данные!$C$2:$C$1001,"2024-03*")</f>
        <v>0</v>
      </c>
      <c r="I131" s="5">
        <f>SUMIFS(Данные!$D$2:$D$1001,Данные!$B$2:$B$1001,$A131,Данные!$C$2:$C$1001,"2024-04*")</f>
        <v>0</v>
      </c>
      <c r="J131" s="5">
        <f>SUMIFS(Данные!$D$2:$D$1001,Данные!$B$2:$B$1001,$A131,Данные!$C$2:$C$1001,"2024-05*")</f>
        <v>0</v>
      </c>
      <c r="K131" s="5">
        <f>SUMIFS(Данные!$D$2:$D$1001,Данные!$B$2:$B$1001,$A131,Данные!$C$2:$C$1001,"2024-06*")</f>
        <v>0</v>
      </c>
      <c r="L131" s="5">
        <f>SUMIFS(Данные!$D$2:$D$1001,Данные!$B$2:$B$1001,$A131,Данные!$C$2:$C$1001,"2024-07*")</f>
        <v>0</v>
      </c>
      <c r="M131" s="5">
        <f>SUMIFS(Данные!$D$2:$D$1001,Данные!$B$2:$B$1001,$A131,Данные!$C$2:$C$1001,"2024-08*")</f>
        <v>0</v>
      </c>
      <c r="N131" s="5">
        <f>SUMIFS(Данные!$D$2:$D$1001,Данные!$B$2:$B$1001,$A131,Данные!$C$2:$C$1001,"2024-09*")</f>
        <v>0</v>
      </c>
      <c r="O131" s="8" t="str">
        <f t="shared" si="14"/>
        <v>C</v>
      </c>
      <c r="P131" s="8" t="str">
        <f t="shared" si="15"/>
        <v>Z</v>
      </c>
      <c r="Q131" s="9">
        <f t="shared" si="16"/>
        <v>57033</v>
      </c>
    </row>
    <row r="132" spans="1:17" ht="14.25" customHeight="1" x14ac:dyDescent="0.25">
      <c r="A132" s="5" t="s">
        <v>89</v>
      </c>
      <c r="B132" s="5">
        <f>SUMIFS(Данные!$D$2:$D$1001,Данные!$B$2:$B$1001,$A132,Данные!$C$2:$C$1001,"2023-09*")</f>
        <v>92268</v>
      </c>
      <c r="C132" s="5">
        <f>SUMIFS(Данные!$D$2:$D$1001,Данные!$B$2:$B$1001,$A132,Данные!$C$2:$C$1001,"2023-10*")</f>
        <v>0</v>
      </c>
      <c r="D132" s="5">
        <f>SUMIFS(Данные!$D$2:$D$1001,Данные!$B$2:$B$1001,$A132,Данные!$C$2:$C$1001,"2023-11*")</f>
        <v>153604</v>
      </c>
      <c r="E132" s="5">
        <f>SUMIFS(Данные!$D$2:$D$1001,Данные!$B$2:$B$1001,$A132,Данные!$C$2:$C$1001,"2023-12*")</f>
        <v>0</v>
      </c>
      <c r="F132" s="5">
        <f>SUMIFS(Данные!$D$2:$D$1001,Данные!$B$2:$B$1001,$A132,Данные!$C$2:$C$1001,"2024-01*")</f>
        <v>0</v>
      </c>
      <c r="G132" s="5">
        <f>SUMIFS(Данные!$D$2:$D$1001,Данные!$B$2:$B$1001,$A132,Данные!$C$2:$C$1001,"2024-02*")</f>
        <v>0</v>
      </c>
      <c r="H132" s="5">
        <f>SUMIFS(Данные!$D$2:$D$1001,Данные!$B$2:$B$1001,$A132,Данные!$C$2:$C$1001,"2024-03*")</f>
        <v>0</v>
      </c>
      <c r="I132" s="5">
        <f>SUMIFS(Данные!$D$2:$D$1001,Данные!$B$2:$B$1001,$A132,Данные!$C$2:$C$1001,"2024-04*")</f>
        <v>0</v>
      </c>
      <c r="J132" s="5">
        <f>SUMIFS(Данные!$D$2:$D$1001,Данные!$B$2:$B$1001,$A132,Данные!$C$2:$C$1001,"2024-05*")</f>
        <v>0</v>
      </c>
      <c r="K132" s="5">
        <f>SUMIFS(Данные!$D$2:$D$1001,Данные!$B$2:$B$1001,$A132,Данные!$C$2:$C$1001,"2024-06*")</f>
        <v>0</v>
      </c>
      <c r="L132" s="5">
        <f>SUMIFS(Данные!$D$2:$D$1001,Данные!$B$2:$B$1001,$A132,Данные!$C$2:$C$1001,"2024-07*")</f>
        <v>60997</v>
      </c>
      <c r="M132" s="5">
        <f>SUMIFS(Данные!$D$2:$D$1001,Данные!$B$2:$B$1001,$A132,Данные!$C$2:$C$1001,"2024-08*")</f>
        <v>0</v>
      </c>
      <c r="N132" s="5">
        <f>SUMIFS(Данные!$D$2:$D$1001,Данные!$B$2:$B$1001,$A132,Данные!$C$2:$C$1001,"2024-09*")</f>
        <v>0</v>
      </c>
      <c r="O132" s="8" t="str">
        <f t="shared" si="14"/>
        <v>A</v>
      </c>
      <c r="P132" s="8" t="str">
        <f t="shared" si="15"/>
        <v>Z</v>
      </c>
      <c r="Q132" s="9">
        <f t="shared" si="16"/>
        <v>306869</v>
      </c>
    </row>
    <row r="133" spans="1:17" ht="14.25" customHeight="1" x14ac:dyDescent="0.25">
      <c r="A133" s="5" t="s">
        <v>253</v>
      </c>
      <c r="B133" s="5">
        <f>SUMIFS(Данные!$D$2:$D$1001,Данные!$B$2:$B$1001,$A133,Данные!$C$2:$C$1001,"2023-09*")</f>
        <v>0</v>
      </c>
      <c r="C133" s="5">
        <f>SUMIFS(Данные!$D$2:$D$1001,Данные!$B$2:$B$1001,$A133,Данные!$C$2:$C$1001,"2023-10*")</f>
        <v>0</v>
      </c>
      <c r="D133" s="5">
        <f>SUMIFS(Данные!$D$2:$D$1001,Данные!$B$2:$B$1001,$A133,Данные!$C$2:$C$1001,"2023-11*")</f>
        <v>0</v>
      </c>
      <c r="E133" s="5">
        <f>SUMIFS(Данные!$D$2:$D$1001,Данные!$B$2:$B$1001,$A133,Данные!$C$2:$C$1001,"2023-12*")</f>
        <v>40173</v>
      </c>
      <c r="F133" s="5">
        <f>SUMIFS(Данные!$D$2:$D$1001,Данные!$B$2:$B$1001,$A133,Данные!$C$2:$C$1001,"2024-01*")</f>
        <v>0</v>
      </c>
      <c r="G133" s="5">
        <f>SUMIFS(Данные!$D$2:$D$1001,Данные!$B$2:$B$1001,$A133,Данные!$C$2:$C$1001,"2024-02*")</f>
        <v>55081</v>
      </c>
      <c r="H133" s="5">
        <f>SUMIFS(Данные!$D$2:$D$1001,Данные!$B$2:$B$1001,$A133,Данные!$C$2:$C$1001,"2024-03*")</f>
        <v>0</v>
      </c>
      <c r="I133" s="5">
        <f>SUMIFS(Данные!$D$2:$D$1001,Данные!$B$2:$B$1001,$A133,Данные!$C$2:$C$1001,"2024-04*")</f>
        <v>0</v>
      </c>
      <c r="J133" s="5">
        <f>SUMIFS(Данные!$D$2:$D$1001,Данные!$B$2:$B$1001,$A133,Данные!$C$2:$C$1001,"2024-05*")</f>
        <v>95442</v>
      </c>
      <c r="K133" s="5">
        <f>SUMIFS(Данные!$D$2:$D$1001,Данные!$B$2:$B$1001,$A133,Данные!$C$2:$C$1001,"2024-06*")</f>
        <v>0</v>
      </c>
      <c r="L133" s="5">
        <f>SUMIFS(Данные!$D$2:$D$1001,Данные!$B$2:$B$1001,$A133,Данные!$C$2:$C$1001,"2024-07*")</f>
        <v>0</v>
      </c>
      <c r="M133" s="5">
        <f>SUMIFS(Данные!$D$2:$D$1001,Данные!$B$2:$B$1001,$A133,Данные!$C$2:$C$1001,"2024-08*")</f>
        <v>0</v>
      </c>
      <c r="N133" s="5">
        <f>SUMIFS(Данные!$D$2:$D$1001,Данные!$B$2:$B$1001,$A133,Данные!$C$2:$C$1001,"2024-09*")</f>
        <v>0</v>
      </c>
      <c r="O133" s="8" t="str">
        <f t="shared" si="14"/>
        <v>B</v>
      </c>
      <c r="P133" s="8" t="str">
        <f t="shared" si="15"/>
        <v>Z</v>
      </c>
      <c r="Q133" s="9">
        <f t="shared" si="16"/>
        <v>190696</v>
      </c>
    </row>
    <row r="134" spans="1:17" ht="14.25" customHeight="1" x14ac:dyDescent="0.25">
      <c r="A134" s="5" t="s">
        <v>176</v>
      </c>
      <c r="B134" s="5">
        <f>SUMIFS(Данные!$D$2:$D$1001,Данные!$B$2:$B$1001,$A134,Данные!$C$2:$C$1001,"2023-09*")</f>
        <v>0</v>
      </c>
      <c r="C134" s="5">
        <f>SUMIFS(Данные!$D$2:$D$1001,Данные!$B$2:$B$1001,$A134,Данные!$C$2:$C$1001,"2023-10*")</f>
        <v>0</v>
      </c>
      <c r="D134" s="5">
        <f>SUMIFS(Данные!$D$2:$D$1001,Данные!$B$2:$B$1001,$A134,Данные!$C$2:$C$1001,"2023-11*")</f>
        <v>82053</v>
      </c>
      <c r="E134" s="5">
        <f>SUMIFS(Данные!$D$2:$D$1001,Данные!$B$2:$B$1001,$A134,Данные!$C$2:$C$1001,"2023-12*")</f>
        <v>0</v>
      </c>
      <c r="F134" s="5">
        <f>SUMIFS(Данные!$D$2:$D$1001,Данные!$B$2:$B$1001,$A134,Данные!$C$2:$C$1001,"2024-01*")</f>
        <v>0</v>
      </c>
      <c r="G134" s="5">
        <f>SUMIFS(Данные!$D$2:$D$1001,Данные!$B$2:$B$1001,$A134,Данные!$C$2:$C$1001,"2024-02*")</f>
        <v>0</v>
      </c>
      <c r="H134" s="5">
        <f>SUMIFS(Данные!$D$2:$D$1001,Данные!$B$2:$B$1001,$A134,Данные!$C$2:$C$1001,"2024-03*")</f>
        <v>0</v>
      </c>
      <c r="I134" s="5">
        <f>SUMIFS(Данные!$D$2:$D$1001,Данные!$B$2:$B$1001,$A134,Данные!$C$2:$C$1001,"2024-04*")</f>
        <v>13163</v>
      </c>
      <c r="J134" s="5">
        <f>SUMIFS(Данные!$D$2:$D$1001,Данные!$B$2:$B$1001,$A134,Данные!$C$2:$C$1001,"2024-05*")</f>
        <v>61665</v>
      </c>
      <c r="K134" s="5">
        <f>SUMIFS(Данные!$D$2:$D$1001,Данные!$B$2:$B$1001,$A134,Данные!$C$2:$C$1001,"2024-06*")</f>
        <v>0</v>
      </c>
      <c r="L134" s="5">
        <f>SUMIFS(Данные!$D$2:$D$1001,Данные!$B$2:$B$1001,$A134,Данные!$C$2:$C$1001,"2024-07*")</f>
        <v>0</v>
      </c>
      <c r="M134" s="5">
        <f>SUMIFS(Данные!$D$2:$D$1001,Данные!$B$2:$B$1001,$A134,Данные!$C$2:$C$1001,"2024-08*")</f>
        <v>0</v>
      </c>
      <c r="N134" s="5">
        <f>SUMIFS(Данные!$D$2:$D$1001,Данные!$B$2:$B$1001,$A134,Данные!$C$2:$C$1001,"2024-09*")</f>
        <v>0</v>
      </c>
      <c r="O134" s="8" t="str">
        <f t="shared" si="14"/>
        <v>B</v>
      </c>
      <c r="P134" s="8" t="str">
        <f t="shared" si="15"/>
        <v>Z</v>
      </c>
      <c r="Q134" s="9">
        <f t="shared" si="16"/>
        <v>156881</v>
      </c>
    </row>
    <row r="135" spans="1:17" ht="14.25" customHeight="1" x14ac:dyDescent="0.25">
      <c r="A135" s="5" t="s">
        <v>200</v>
      </c>
      <c r="B135" s="5">
        <f>SUMIFS(Данные!$D$2:$D$1001,Данные!$B$2:$B$1001,$A135,Данные!$C$2:$C$1001,"2023-09*")</f>
        <v>0</v>
      </c>
      <c r="C135" s="5">
        <f>SUMIFS(Данные!$D$2:$D$1001,Данные!$B$2:$B$1001,$A135,Данные!$C$2:$C$1001,"2023-10*")</f>
        <v>0</v>
      </c>
      <c r="D135" s="5">
        <f>SUMIFS(Данные!$D$2:$D$1001,Данные!$B$2:$B$1001,$A135,Данные!$C$2:$C$1001,"2023-11*")</f>
        <v>76419</v>
      </c>
      <c r="E135" s="5">
        <f>SUMIFS(Данные!$D$2:$D$1001,Данные!$B$2:$B$1001,$A135,Данные!$C$2:$C$1001,"2023-12*")</f>
        <v>31661</v>
      </c>
      <c r="F135" s="5">
        <f>SUMIFS(Данные!$D$2:$D$1001,Данные!$B$2:$B$1001,$A135,Данные!$C$2:$C$1001,"2024-01*")</f>
        <v>0</v>
      </c>
      <c r="G135" s="5">
        <f>SUMIFS(Данные!$D$2:$D$1001,Данные!$B$2:$B$1001,$A135,Данные!$C$2:$C$1001,"2024-02*")</f>
        <v>47248</v>
      </c>
      <c r="H135" s="5">
        <f>SUMIFS(Данные!$D$2:$D$1001,Данные!$B$2:$B$1001,$A135,Данные!$C$2:$C$1001,"2024-03*")</f>
        <v>0</v>
      </c>
      <c r="I135" s="5">
        <f>SUMIFS(Данные!$D$2:$D$1001,Данные!$B$2:$B$1001,$A135,Данные!$C$2:$C$1001,"2024-04*")</f>
        <v>0</v>
      </c>
      <c r="J135" s="5">
        <f>SUMIFS(Данные!$D$2:$D$1001,Данные!$B$2:$B$1001,$A135,Данные!$C$2:$C$1001,"2024-05*")</f>
        <v>63813</v>
      </c>
      <c r="K135" s="5">
        <f>SUMIFS(Данные!$D$2:$D$1001,Данные!$B$2:$B$1001,$A135,Данные!$C$2:$C$1001,"2024-06*")</f>
        <v>0</v>
      </c>
      <c r="L135" s="5">
        <f>SUMIFS(Данные!$D$2:$D$1001,Данные!$B$2:$B$1001,$A135,Данные!$C$2:$C$1001,"2024-07*")</f>
        <v>0</v>
      </c>
      <c r="M135" s="5">
        <f>SUMIFS(Данные!$D$2:$D$1001,Данные!$B$2:$B$1001,$A135,Данные!$C$2:$C$1001,"2024-08*")</f>
        <v>0</v>
      </c>
      <c r="N135" s="5">
        <f>SUMIFS(Данные!$D$2:$D$1001,Данные!$B$2:$B$1001,$A135,Данные!$C$2:$C$1001,"2024-09*")</f>
        <v>0</v>
      </c>
      <c r="O135" s="8" t="str">
        <f t="shared" si="14"/>
        <v>B</v>
      </c>
      <c r="P135" s="8" t="str">
        <f t="shared" si="15"/>
        <v>Z</v>
      </c>
      <c r="Q135" s="9">
        <f t="shared" si="16"/>
        <v>219141</v>
      </c>
    </row>
    <row r="136" spans="1:17" ht="14.25" customHeight="1" x14ac:dyDescent="0.25">
      <c r="A136" s="5" t="s">
        <v>82</v>
      </c>
      <c r="B136" s="5">
        <f>SUMIFS(Данные!$D$2:$D$1001,Данные!$B$2:$B$1001,$A136,Данные!$C$2:$C$1001,"2023-09*")</f>
        <v>20800</v>
      </c>
      <c r="C136" s="5">
        <f>SUMIFS(Данные!$D$2:$D$1001,Данные!$B$2:$B$1001,$A136,Данные!$C$2:$C$1001,"2023-10*")</f>
        <v>83456</v>
      </c>
      <c r="D136" s="5">
        <f>SUMIFS(Данные!$D$2:$D$1001,Данные!$B$2:$B$1001,$A136,Данные!$C$2:$C$1001,"2023-11*")</f>
        <v>0</v>
      </c>
      <c r="E136" s="5">
        <f>SUMIFS(Данные!$D$2:$D$1001,Данные!$B$2:$B$1001,$A136,Данные!$C$2:$C$1001,"2023-12*")</f>
        <v>156239</v>
      </c>
      <c r="F136" s="5">
        <f>SUMIFS(Данные!$D$2:$D$1001,Данные!$B$2:$B$1001,$A136,Данные!$C$2:$C$1001,"2024-01*")</f>
        <v>0</v>
      </c>
      <c r="G136" s="5">
        <f>SUMIFS(Данные!$D$2:$D$1001,Данные!$B$2:$B$1001,$A136,Данные!$C$2:$C$1001,"2024-02*")</f>
        <v>0</v>
      </c>
      <c r="H136" s="5">
        <f>SUMIFS(Данные!$D$2:$D$1001,Данные!$B$2:$B$1001,$A136,Данные!$C$2:$C$1001,"2024-03*")</f>
        <v>0</v>
      </c>
      <c r="I136" s="5">
        <f>SUMIFS(Данные!$D$2:$D$1001,Данные!$B$2:$B$1001,$A136,Данные!$C$2:$C$1001,"2024-04*")</f>
        <v>32925</v>
      </c>
      <c r="J136" s="5">
        <f>SUMIFS(Данные!$D$2:$D$1001,Данные!$B$2:$B$1001,$A136,Данные!$C$2:$C$1001,"2024-05*")</f>
        <v>87574</v>
      </c>
      <c r="K136" s="5">
        <f>SUMIFS(Данные!$D$2:$D$1001,Данные!$B$2:$B$1001,$A136,Данные!$C$2:$C$1001,"2024-06*")</f>
        <v>0</v>
      </c>
      <c r="L136" s="5">
        <f>SUMIFS(Данные!$D$2:$D$1001,Данные!$B$2:$B$1001,$A136,Данные!$C$2:$C$1001,"2024-07*")</f>
        <v>0</v>
      </c>
      <c r="M136" s="5">
        <f>SUMIFS(Данные!$D$2:$D$1001,Данные!$B$2:$B$1001,$A136,Данные!$C$2:$C$1001,"2024-08*")</f>
        <v>0</v>
      </c>
      <c r="N136" s="5">
        <f>SUMIFS(Данные!$D$2:$D$1001,Данные!$B$2:$B$1001,$A136,Данные!$C$2:$C$1001,"2024-09*")</f>
        <v>0</v>
      </c>
      <c r="O136" s="8" t="str">
        <f t="shared" si="14"/>
        <v>A</v>
      </c>
      <c r="P136" s="8" t="str">
        <f t="shared" si="15"/>
        <v>Z</v>
      </c>
      <c r="Q136" s="9">
        <f t="shared" si="16"/>
        <v>380994</v>
      </c>
    </row>
    <row r="137" spans="1:17" ht="14.25" customHeight="1" x14ac:dyDescent="0.25">
      <c r="A137" s="5" t="s">
        <v>206</v>
      </c>
      <c r="B137" s="5">
        <f>SUMIFS(Данные!$D$2:$D$1001,Данные!$B$2:$B$1001,$A137,Данные!$C$2:$C$1001,"2023-09*")</f>
        <v>0</v>
      </c>
      <c r="C137" s="5">
        <f>SUMIFS(Данные!$D$2:$D$1001,Данные!$B$2:$B$1001,$A137,Данные!$C$2:$C$1001,"2023-10*")</f>
        <v>0</v>
      </c>
      <c r="D137" s="5">
        <f>SUMIFS(Данные!$D$2:$D$1001,Данные!$B$2:$B$1001,$A137,Данные!$C$2:$C$1001,"2023-11*")</f>
        <v>11324</v>
      </c>
      <c r="E137" s="5">
        <f>SUMIFS(Данные!$D$2:$D$1001,Данные!$B$2:$B$1001,$A137,Данные!$C$2:$C$1001,"2023-12*")</f>
        <v>0</v>
      </c>
      <c r="F137" s="5">
        <f>SUMIFS(Данные!$D$2:$D$1001,Данные!$B$2:$B$1001,$A137,Данные!$C$2:$C$1001,"2024-01*")</f>
        <v>35284</v>
      </c>
      <c r="G137" s="5">
        <f>SUMIFS(Данные!$D$2:$D$1001,Данные!$B$2:$B$1001,$A137,Данные!$C$2:$C$1001,"2024-02*")</f>
        <v>0</v>
      </c>
      <c r="H137" s="5">
        <f>SUMIFS(Данные!$D$2:$D$1001,Данные!$B$2:$B$1001,$A137,Данные!$C$2:$C$1001,"2024-03*")</f>
        <v>0</v>
      </c>
      <c r="I137" s="5">
        <f>SUMIFS(Данные!$D$2:$D$1001,Данные!$B$2:$B$1001,$A137,Данные!$C$2:$C$1001,"2024-04*")</f>
        <v>86694</v>
      </c>
      <c r="J137" s="5">
        <f>SUMIFS(Данные!$D$2:$D$1001,Данные!$B$2:$B$1001,$A137,Данные!$C$2:$C$1001,"2024-05*")</f>
        <v>0</v>
      </c>
      <c r="K137" s="5">
        <f>SUMIFS(Данные!$D$2:$D$1001,Данные!$B$2:$B$1001,$A137,Данные!$C$2:$C$1001,"2024-06*")</f>
        <v>0</v>
      </c>
      <c r="L137" s="5">
        <f>SUMIFS(Данные!$D$2:$D$1001,Данные!$B$2:$B$1001,$A137,Данные!$C$2:$C$1001,"2024-07*")</f>
        <v>58119</v>
      </c>
      <c r="M137" s="5">
        <f>SUMIFS(Данные!$D$2:$D$1001,Данные!$B$2:$B$1001,$A137,Данные!$C$2:$C$1001,"2024-08*")</f>
        <v>0</v>
      </c>
      <c r="N137" s="5">
        <f>SUMIFS(Данные!$D$2:$D$1001,Данные!$B$2:$B$1001,$A137,Данные!$C$2:$C$1001,"2024-09*")</f>
        <v>0</v>
      </c>
      <c r="O137" s="8" t="str">
        <f t="shared" si="14"/>
        <v>B</v>
      </c>
      <c r="P137" s="8" t="str">
        <f t="shared" si="15"/>
        <v>Z</v>
      </c>
      <c r="Q137" s="9">
        <f t="shared" si="16"/>
        <v>191421</v>
      </c>
    </row>
    <row r="138" spans="1:17" ht="14.25" customHeight="1" x14ac:dyDescent="0.25">
      <c r="A138" s="5" t="s">
        <v>30</v>
      </c>
      <c r="B138" s="5">
        <f>SUMIFS(Данные!$D$2:$D$1001,Данные!$B$2:$B$1001,$A138,Данные!$C$2:$C$1001,"2023-09*")</f>
        <v>44823</v>
      </c>
      <c r="C138" s="5">
        <f>SUMIFS(Данные!$D$2:$D$1001,Данные!$B$2:$B$1001,$A138,Данные!$C$2:$C$1001,"2023-10*")</f>
        <v>81491</v>
      </c>
      <c r="D138" s="5">
        <f>SUMIFS(Данные!$D$2:$D$1001,Данные!$B$2:$B$1001,$A138,Данные!$C$2:$C$1001,"2023-11*")</f>
        <v>89380</v>
      </c>
      <c r="E138" s="5">
        <f>SUMIFS(Данные!$D$2:$D$1001,Данные!$B$2:$B$1001,$A138,Данные!$C$2:$C$1001,"2023-12*")</f>
        <v>0</v>
      </c>
      <c r="F138" s="5">
        <f>SUMIFS(Данные!$D$2:$D$1001,Данные!$B$2:$B$1001,$A138,Данные!$C$2:$C$1001,"2024-01*")</f>
        <v>152994</v>
      </c>
      <c r="G138" s="5">
        <f>SUMIFS(Данные!$D$2:$D$1001,Данные!$B$2:$B$1001,$A138,Данные!$C$2:$C$1001,"2024-02*")</f>
        <v>0</v>
      </c>
      <c r="H138" s="5">
        <f>SUMIFS(Данные!$D$2:$D$1001,Данные!$B$2:$B$1001,$A138,Данные!$C$2:$C$1001,"2024-03*")</f>
        <v>0</v>
      </c>
      <c r="I138" s="5">
        <f>SUMIFS(Данные!$D$2:$D$1001,Данные!$B$2:$B$1001,$A138,Данные!$C$2:$C$1001,"2024-04*")</f>
        <v>0</v>
      </c>
      <c r="J138" s="5">
        <f>SUMIFS(Данные!$D$2:$D$1001,Данные!$B$2:$B$1001,$A138,Данные!$C$2:$C$1001,"2024-05*")</f>
        <v>0</v>
      </c>
      <c r="K138" s="5">
        <f>SUMIFS(Данные!$D$2:$D$1001,Данные!$B$2:$B$1001,$A138,Данные!$C$2:$C$1001,"2024-06*")</f>
        <v>0</v>
      </c>
      <c r="L138" s="5">
        <f>SUMIFS(Данные!$D$2:$D$1001,Данные!$B$2:$B$1001,$A138,Данные!$C$2:$C$1001,"2024-07*")</f>
        <v>0</v>
      </c>
      <c r="M138" s="5">
        <f>SUMIFS(Данные!$D$2:$D$1001,Данные!$B$2:$B$1001,$A138,Данные!$C$2:$C$1001,"2024-08*")</f>
        <v>49401</v>
      </c>
      <c r="N138" s="5">
        <f>SUMIFS(Данные!$D$2:$D$1001,Данные!$B$2:$B$1001,$A138,Данные!$C$2:$C$1001,"2024-09*")</f>
        <v>0</v>
      </c>
      <c r="O138" s="8" t="str">
        <f t="shared" si="14"/>
        <v>A</v>
      </c>
      <c r="P138" s="8" t="str">
        <f t="shared" si="15"/>
        <v>Z</v>
      </c>
      <c r="Q138" s="9">
        <f t="shared" si="16"/>
        <v>418089</v>
      </c>
    </row>
    <row r="139" spans="1:17" ht="14.25" customHeight="1" x14ac:dyDescent="0.25">
      <c r="A139" s="5" t="s">
        <v>177</v>
      </c>
      <c r="B139" s="5">
        <f>SUMIFS(Данные!$D$2:$D$1001,Данные!$B$2:$B$1001,$A139,Данные!$C$2:$C$1001,"2023-09*")</f>
        <v>0</v>
      </c>
      <c r="C139" s="5">
        <f>SUMIFS(Данные!$D$2:$D$1001,Данные!$B$2:$B$1001,$A139,Данные!$C$2:$C$1001,"2023-10*")</f>
        <v>0</v>
      </c>
      <c r="D139" s="5">
        <f>SUMIFS(Данные!$D$2:$D$1001,Данные!$B$2:$B$1001,$A139,Данные!$C$2:$C$1001,"2023-11*")</f>
        <v>52662</v>
      </c>
      <c r="E139" s="5">
        <f>SUMIFS(Данные!$D$2:$D$1001,Данные!$B$2:$B$1001,$A139,Данные!$C$2:$C$1001,"2023-12*")</f>
        <v>0</v>
      </c>
      <c r="F139" s="5">
        <f>SUMIFS(Данные!$D$2:$D$1001,Данные!$B$2:$B$1001,$A139,Данные!$C$2:$C$1001,"2024-01*")</f>
        <v>0</v>
      </c>
      <c r="G139" s="5">
        <f>SUMIFS(Данные!$D$2:$D$1001,Данные!$B$2:$B$1001,$A139,Данные!$C$2:$C$1001,"2024-02*")</f>
        <v>92969</v>
      </c>
      <c r="H139" s="5">
        <f>SUMIFS(Данные!$D$2:$D$1001,Данные!$B$2:$B$1001,$A139,Данные!$C$2:$C$1001,"2024-03*")</f>
        <v>0</v>
      </c>
      <c r="I139" s="5">
        <f>SUMIFS(Данные!$D$2:$D$1001,Данные!$B$2:$B$1001,$A139,Данные!$C$2:$C$1001,"2024-04*")</f>
        <v>146666</v>
      </c>
      <c r="J139" s="5">
        <f>SUMIFS(Данные!$D$2:$D$1001,Данные!$B$2:$B$1001,$A139,Данные!$C$2:$C$1001,"2024-05*")</f>
        <v>93698</v>
      </c>
      <c r="K139" s="5">
        <f>SUMIFS(Данные!$D$2:$D$1001,Данные!$B$2:$B$1001,$A139,Данные!$C$2:$C$1001,"2024-06*")</f>
        <v>0</v>
      </c>
      <c r="L139" s="5">
        <f>SUMIFS(Данные!$D$2:$D$1001,Данные!$B$2:$B$1001,$A139,Данные!$C$2:$C$1001,"2024-07*")</f>
        <v>0</v>
      </c>
      <c r="M139" s="5">
        <f>SUMIFS(Данные!$D$2:$D$1001,Данные!$B$2:$B$1001,$A139,Данные!$C$2:$C$1001,"2024-08*")</f>
        <v>0</v>
      </c>
      <c r="N139" s="5">
        <f>SUMIFS(Данные!$D$2:$D$1001,Данные!$B$2:$B$1001,$A139,Данные!$C$2:$C$1001,"2024-09*")</f>
        <v>0</v>
      </c>
      <c r="O139" s="8" t="str">
        <f t="shared" si="14"/>
        <v>A</v>
      </c>
      <c r="P139" s="8" t="str">
        <f t="shared" si="15"/>
        <v>Z</v>
      </c>
      <c r="Q139" s="9">
        <f t="shared" si="16"/>
        <v>385995</v>
      </c>
    </row>
    <row r="140" spans="1:17" ht="14.25" customHeight="1" x14ac:dyDescent="0.25">
      <c r="A140" s="5" t="s">
        <v>37</v>
      </c>
      <c r="B140" s="5">
        <f>SUMIFS(Данные!$D$2:$D$1001,Данные!$B$2:$B$1001,$A140,Данные!$C$2:$C$1001,"2023-09*")</f>
        <v>43175</v>
      </c>
      <c r="C140" s="5">
        <f>SUMIFS(Данные!$D$2:$D$1001,Данные!$B$2:$B$1001,$A140,Данные!$C$2:$C$1001,"2023-10*")</f>
        <v>17684</v>
      </c>
      <c r="D140" s="5">
        <f>SUMIFS(Данные!$D$2:$D$1001,Данные!$B$2:$B$1001,$A140,Данные!$C$2:$C$1001,"2023-11*")</f>
        <v>81158</v>
      </c>
      <c r="E140" s="5">
        <f>SUMIFS(Данные!$D$2:$D$1001,Данные!$B$2:$B$1001,$A140,Данные!$C$2:$C$1001,"2023-12*")</f>
        <v>39166</v>
      </c>
      <c r="F140" s="5">
        <f>SUMIFS(Данные!$D$2:$D$1001,Данные!$B$2:$B$1001,$A140,Данные!$C$2:$C$1001,"2024-01*")</f>
        <v>0</v>
      </c>
      <c r="G140" s="5">
        <f>SUMIFS(Данные!$D$2:$D$1001,Данные!$B$2:$B$1001,$A140,Данные!$C$2:$C$1001,"2024-02*")</f>
        <v>44993</v>
      </c>
      <c r="H140" s="5">
        <f>SUMIFS(Данные!$D$2:$D$1001,Данные!$B$2:$B$1001,$A140,Данные!$C$2:$C$1001,"2024-03*")</f>
        <v>129373</v>
      </c>
      <c r="I140" s="5">
        <f>SUMIFS(Данные!$D$2:$D$1001,Данные!$B$2:$B$1001,$A140,Данные!$C$2:$C$1001,"2024-04*")</f>
        <v>0</v>
      </c>
      <c r="J140" s="5">
        <f>SUMIFS(Данные!$D$2:$D$1001,Данные!$B$2:$B$1001,$A140,Данные!$C$2:$C$1001,"2024-05*")</f>
        <v>53465</v>
      </c>
      <c r="K140" s="5">
        <f>SUMIFS(Данные!$D$2:$D$1001,Данные!$B$2:$B$1001,$A140,Данные!$C$2:$C$1001,"2024-06*")</f>
        <v>0</v>
      </c>
      <c r="L140" s="5">
        <f>SUMIFS(Данные!$D$2:$D$1001,Данные!$B$2:$B$1001,$A140,Данные!$C$2:$C$1001,"2024-07*")</f>
        <v>0</v>
      </c>
      <c r="M140" s="5">
        <f>SUMIFS(Данные!$D$2:$D$1001,Данные!$B$2:$B$1001,$A140,Данные!$C$2:$C$1001,"2024-08*")</f>
        <v>0</v>
      </c>
      <c r="N140" s="5">
        <f>SUMIFS(Данные!$D$2:$D$1001,Данные!$B$2:$B$1001,$A140,Данные!$C$2:$C$1001,"2024-09*")</f>
        <v>0</v>
      </c>
      <c r="O140" s="8" t="str">
        <f t="shared" si="14"/>
        <v>A</v>
      </c>
      <c r="P140" s="8" t="str">
        <f t="shared" si="15"/>
        <v>Z</v>
      </c>
      <c r="Q140" s="9">
        <f t="shared" si="16"/>
        <v>409014</v>
      </c>
    </row>
    <row r="141" spans="1:17" ht="14.25" customHeight="1" x14ac:dyDescent="0.25">
      <c r="A141" s="5" t="s">
        <v>25</v>
      </c>
      <c r="B141" s="5">
        <f>SUMIFS(Данные!$D$2:$D$1001,Данные!$B$2:$B$1001,$A141,Данные!$C$2:$C$1001,"2023-09*")</f>
        <v>94709</v>
      </c>
      <c r="C141" s="5">
        <f>SUMIFS(Данные!$D$2:$D$1001,Данные!$B$2:$B$1001,$A141,Данные!$C$2:$C$1001,"2023-10*")</f>
        <v>0</v>
      </c>
      <c r="D141" s="5">
        <f>SUMIFS(Данные!$D$2:$D$1001,Данные!$B$2:$B$1001,$A141,Данные!$C$2:$C$1001,"2023-11*")</f>
        <v>0</v>
      </c>
      <c r="E141" s="5">
        <f>SUMIFS(Данные!$D$2:$D$1001,Данные!$B$2:$B$1001,$A141,Данные!$C$2:$C$1001,"2023-12*")</f>
        <v>0</v>
      </c>
      <c r="F141" s="5">
        <f>SUMIFS(Данные!$D$2:$D$1001,Данные!$B$2:$B$1001,$A141,Данные!$C$2:$C$1001,"2024-01*")</f>
        <v>0</v>
      </c>
      <c r="G141" s="5">
        <f>SUMIFS(Данные!$D$2:$D$1001,Данные!$B$2:$B$1001,$A141,Данные!$C$2:$C$1001,"2024-02*")</f>
        <v>142062</v>
      </c>
      <c r="H141" s="5">
        <f>SUMIFS(Данные!$D$2:$D$1001,Данные!$B$2:$B$1001,$A141,Данные!$C$2:$C$1001,"2024-03*")</f>
        <v>0</v>
      </c>
      <c r="I141" s="5">
        <f>SUMIFS(Данные!$D$2:$D$1001,Данные!$B$2:$B$1001,$A141,Данные!$C$2:$C$1001,"2024-04*")</f>
        <v>0</v>
      </c>
      <c r="J141" s="5">
        <f>SUMIFS(Данные!$D$2:$D$1001,Данные!$B$2:$B$1001,$A141,Данные!$C$2:$C$1001,"2024-05*")</f>
        <v>0</v>
      </c>
      <c r="K141" s="5">
        <f>SUMIFS(Данные!$D$2:$D$1001,Данные!$B$2:$B$1001,$A141,Данные!$C$2:$C$1001,"2024-06*")</f>
        <v>16275</v>
      </c>
      <c r="L141" s="5">
        <f>SUMIFS(Данные!$D$2:$D$1001,Данные!$B$2:$B$1001,$A141,Данные!$C$2:$C$1001,"2024-07*")</f>
        <v>26286</v>
      </c>
      <c r="M141" s="5">
        <f>SUMIFS(Данные!$D$2:$D$1001,Данные!$B$2:$B$1001,$A141,Данные!$C$2:$C$1001,"2024-08*")</f>
        <v>0</v>
      </c>
      <c r="N141" s="5">
        <f>SUMIFS(Данные!$D$2:$D$1001,Данные!$B$2:$B$1001,$A141,Данные!$C$2:$C$1001,"2024-09*")</f>
        <v>0</v>
      </c>
      <c r="O141" s="8" t="str">
        <f t="shared" si="14"/>
        <v>A</v>
      </c>
      <c r="P141" s="8" t="str">
        <f t="shared" si="15"/>
        <v>Z</v>
      </c>
      <c r="Q141" s="9">
        <f t="shared" si="16"/>
        <v>279332</v>
      </c>
    </row>
    <row r="142" spans="1:17" ht="14.25" customHeight="1" x14ac:dyDescent="0.25">
      <c r="A142" s="5" t="s">
        <v>368</v>
      </c>
      <c r="B142" s="5">
        <f>SUMIFS(Данные!$D$2:$D$1001,Данные!$B$2:$B$1001,$A142,Данные!$C$2:$C$1001,"2023-09*")</f>
        <v>0</v>
      </c>
      <c r="C142" s="5">
        <f>SUMIFS(Данные!$D$2:$D$1001,Данные!$B$2:$B$1001,$A142,Данные!$C$2:$C$1001,"2023-10*")</f>
        <v>0</v>
      </c>
      <c r="D142" s="5">
        <f>SUMIFS(Данные!$D$2:$D$1001,Данные!$B$2:$B$1001,$A142,Данные!$C$2:$C$1001,"2023-11*")</f>
        <v>0</v>
      </c>
      <c r="E142" s="5">
        <f>SUMIFS(Данные!$D$2:$D$1001,Данные!$B$2:$B$1001,$A142,Данные!$C$2:$C$1001,"2023-12*")</f>
        <v>0</v>
      </c>
      <c r="F142" s="5">
        <f>SUMIFS(Данные!$D$2:$D$1001,Данные!$B$2:$B$1001,$A142,Данные!$C$2:$C$1001,"2024-01*")</f>
        <v>0</v>
      </c>
      <c r="G142" s="5">
        <f>SUMIFS(Данные!$D$2:$D$1001,Данные!$B$2:$B$1001,$A142,Данные!$C$2:$C$1001,"2024-02*")</f>
        <v>0</v>
      </c>
      <c r="H142" s="5">
        <f>SUMIFS(Данные!$D$2:$D$1001,Данные!$B$2:$B$1001,$A142,Данные!$C$2:$C$1001,"2024-03*")</f>
        <v>0</v>
      </c>
      <c r="I142" s="5">
        <f>SUMIFS(Данные!$D$2:$D$1001,Данные!$B$2:$B$1001,$A142,Данные!$C$2:$C$1001,"2024-04*")</f>
        <v>70480</v>
      </c>
      <c r="J142" s="5">
        <f>SUMIFS(Данные!$D$2:$D$1001,Данные!$B$2:$B$1001,$A142,Данные!$C$2:$C$1001,"2024-05*")</f>
        <v>0</v>
      </c>
      <c r="K142" s="5">
        <f>SUMIFS(Данные!$D$2:$D$1001,Данные!$B$2:$B$1001,$A142,Данные!$C$2:$C$1001,"2024-06*")</f>
        <v>0</v>
      </c>
      <c r="L142" s="5">
        <f>SUMIFS(Данные!$D$2:$D$1001,Данные!$B$2:$B$1001,$A142,Данные!$C$2:$C$1001,"2024-07*")</f>
        <v>0</v>
      </c>
      <c r="M142" s="5">
        <f>SUMIFS(Данные!$D$2:$D$1001,Данные!$B$2:$B$1001,$A142,Данные!$C$2:$C$1001,"2024-08*")</f>
        <v>0</v>
      </c>
      <c r="N142" s="5">
        <f>SUMIFS(Данные!$D$2:$D$1001,Данные!$B$2:$B$1001,$A142,Данные!$C$2:$C$1001,"2024-09*")</f>
        <v>0</v>
      </c>
      <c r="O142" s="8" t="str">
        <f t="shared" si="14"/>
        <v>C</v>
      </c>
      <c r="P142" s="8" t="str">
        <f t="shared" si="15"/>
        <v>Z</v>
      </c>
      <c r="Q142" s="9">
        <f t="shared" si="16"/>
        <v>70480</v>
      </c>
    </row>
    <row r="143" spans="1:17" ht="14.25" customHeight="1" x14ac:dyDescent="0.25">
      <c r="A143" s="5" t="s">
        <v>266</v>
      </c>
      <c r="B143" s="5">
        <f>SUMIFS(Данные!$D$2:$D$1001,Данные!$B$2:$B$1001,$A143,Данные!$C$2:$C$1001,"2023-09*")</f>
        <v>0</v>
      </c>
      <c r="C143" s="5">
        <f>SUMIFS(Данные!$D$2:$D$1001,Данные!$B$2:$B$1001,$A143,Данные!$C$2:$C$1001,"2023-10*")</f>
        <v>0</v>
      </c>
      <c r="D143" s="5">
        <f>SUMIFS(Данные!$D$2:$D$1001,Данные!$B$2:$B$1001,$A143,Данные!$C$2:$C$1001,"2023-11*")</f>
        <v>0</v>
      </c>
      <c r="E143" s="5">
        <f>SUMIFS(Данные!$D$2:$D$1001,Данные!$B$2:$B$1001,$A143,Данные!$C$2:$C$1001,"2023-12*")</f>
        <v>0</v>
      </c>
      <c r="F143" s="5">
        <f>SUMIFS(Данные!$D$2:$D$1001,Данные!$B$2:$B$1001,$A143,Данные!$C$2:$C$1001,"2024-01*")</f>
        <v>63947</v>
      </c>
      <c r="G143" s="5">
        <f>SUMIFS(Данные!$D$2:$D$1001,Данные!$B$2:$B$1001,$A143,Данные!$C$2:$C$1001,"2024-02*")</f>
        <v>0</v>
      </c>
      <c r="H143" s="5">
        <f>SUMIFS(Данные!$D$2:$D$1001,Данные!$B$2:$B$1001,$A143,Данные!$C$2:$C$1001,"2024-03*")</f>
        <v>0</v>
      </c>
      <c r="I143" s="5">
        <f>SUMIFS(Данные!$D$2:$D$1001,Данные!$B$2:$B$1001,$A143,Данные!$C$2:$C$1001,"2024-04*")</f>
        <v>0</v>
      </c>
      <c r="J143" s="5">
        <f>SUMIFS(Данные!$D$2:$D$1001,Данные!$B$2:$B$1001,$A143,Данные!$C$2:$C$1001,"2024-05*")</f>
        <v>76345</v>
      </c>
      <c r="K143" s="5">
        <f>SUMIFS(Данные!$D$2:$D$1001,Данные!$B$2:$B$1001,$A143,Данные!$C$2:$C$1001,"2024-06*")</f>
        <v>15293</v>
      </c>
      <c r="L143" s="5">
        <f>SUMIFS(Данные!$D$2:$D$1001,Данные!$B$2:$B$1001,$A143,Данные!$C$2:$C$1001,"2024-07*")</f>
        <v>0</v>
      </c>
      <c r="M143" s="5">
        <f>SUMIFS(Данные!$D$2:$D$1001,Данные!$B$2:$B$1001,$A143,Данные!$C$2:$C$1001,"2024-08*")</f>
        <v>0</v>
      </c>
      <c r="N143" s="5">
        <f>SUMIFS(Данные!$D$2:$D$1001,Данные!$B$2:$B$1001,$A143,Данные!$C$2:$C$1001,"2024-09*")</f>
        <v>0</v>
      </c>
      <c r="O143" s="8" t="str">
        <f t="shared" si="14"/>
        <v>B</v>
      </c>
      <c r="P143" s="8" t="str">
        <f t="shared" si="15"/>
        <v>Z</v>
      </c>
      <c r="Q143" s="9">
        <f t="shared" si="16"/>
        <v>155585</v>
      </c>
    </row>
    <row r="144" spans="1:17" ht="14.25" customHeight="1" x14ac:dyDescent="0.25">
      <c r="A144" s="5" t="s">
        <v>41</v>
      </c>
      <c r="B144" s="5">
        <f>SUMIFS(Данные!$D$2:$D$1001,Данные!$B$2:$B$1001,$A144,Данные!$C$2:$C$1001,"2023-09*")</f>
        <v>68897</v>
      </c>
      <c r="C144" s="5">
        <f>SUMIFS(Данные!$D$2:$D$1001,Данные!$B$2:$B$1001,$A144,Данные!$C$2:$C$1001,"2023-10*")</f>
        <v>93138</v>
      </c>
      <c r="D144" s="5">
        <f>SUMIFS(Данные!$D$2:$D$1001,Данные!$B$2:$B$1001,$A144,Данные!$C$2:$C$1001,"2023-11*")</f>
        <v>0</v>
      </c>
      <c r="E144" s="5">
        <f>SUMIFS(Данные!$D$2:$D$1001,Данные!$B$2:$B$1001,$A144,Данные!$C$2:$C$1001,"2023-12*")</f>
        <v>0</v>
      </c>
      <c r="F144" s="5">
        <f>SUMIFS(Данные!$D$2:$D$1001,Данные!$B$2:$B$1001,$A144,Данные!$C$2:$C$1001,"2024-01*")</f>
        <v>93384</v>
      </c>
      <c r="G144" s="5">
        <f>SUMIFS(Данные!$D$2:$D$1001,Данные!$B$2:$B$1001,$A144,Данные!$C$2:$C$1001,"2024-02*")</f>
        <v>0</v>
      </c>
      <c r="H144" s="5">
        <f>SUMIFS(Данные!$D$2:$D$1001,Данные!$B$2:$B$1001,$A144,Данные!$C$2:$C$1001,"2024-03*")</f>
        <v>0</v>
      </c>
      <c r="I144" s="5">
        <f>SUMIFS(Данные!$D$2:$D$1001,Данные!$B$2:$B$1001,$A144,Данные!$C$2:$C$1001,"2024-04*")</f>
        <v>0</v>
      </c>
      <c r="J144" s="5">
        <f>SUMIFS(Данные!$D$2:$D$1001,Данные!$B$2:$B$1001,$A144,Данные!$C$2:$C$1001,"2024-05*")</f>
        <v>0</v>
      </c>
      <c r="K144" s="5">
        <f>SUMIFS(Данные!$D$2:$D$1001,Данные!$B$2:$B$1001,$A144,Данные!$C$2:$C$1001,"2024-06*")</f>
        <v>0</v>
      </c>
      <c r="L144" s="5">
        <f>SUMIFS(Данные!$D$2:$D$1001,Данные!$B$2:$B$1001,$A144,Данные!$C$2:$C$1001,"2024-07*")</f>
        <v>0</v>
      </c>
      <c r="M144" s="5">
        <f>SUMIFS(Данные!$D$2:$D$1001,Данные!$B$2:$B$1001,$A144,Данные!$C$2:$C$1001,"2024-08*")</f>
        <v>83186</v>
      </c>
      <c r="N144" s="5">
        <f>SUMIFS(Данные!$D$2:$D$1001,Данные!$B$2:$B$1001,$A144,Данные!$C$2:$C$1001,"2024-09*")</f>
        <v>0</v>
      </c>
      <c r="O144" s="8" t="str">
        <f t="shared" si="14"/>
        <v>A</v>
      </c>
      <c r="P144" s="8" t="str">
        <f t="shared" si="15"/>
        <v>Z</v>
      </c>
      <c r="Q144" s="9">
        <f t="shared" si="16"/>
        <v>338605</v>
      </c>
    </row>
    <row r="145" spans="1:17" ht="14.25" customHeight="1" x14ac:dyDescent="0.25">
      <c r="A145" s="5" t="s">
        <v>136</v>
      </c>
      <c r="B145" s="5">
        <f>SUMIFS(Данные!$D$2:$D$1001,Данные!$B$2:$B$1001,$A145,Данные!$C$2:$C$1001,"2023-09*")</f>
        <v>0</v>
      </c>
      <c r="C145" s="5">
        <f>SUMIFS(Данные!$D$2:$D$1001,Данные!$B$2:$B$1001,$A145,Данные!$C$2:$C$1001,"2023-10*")</f>
        <v>81634</v>
      </c>
      <c r="D145" s="5">
        <f>SUMIFS(Данные!$D$2:$D$1001,Данные!$B$2:$B$1001,$A145,Данные!$C$2:$C$1001,"2023-11*")</f>
        <v>120274</v>
      </c>
      <c r="E145" s="5">
        <f>SUMIFS(Данные!$D$2:$D$1001,Данные!$B$2:$B$1001,$A145,Данные!$C$2:$C$1001,"2023-12*")</f>
        <v>0</v>
      </c>
      <c r="F145" s="5">
        <f>SUMIFS(Данные!$D$2:$D$1001,Данные!$B$2:$B$1001,$A145,Данные!$C$2:$C$1001,"2024-01*")</f>
        <v>0</v>
      </c>
      <c r="G145" s="5">
        <f>SUMIFS(Данные!$D$2:$D$1001,Данные!$B$2:$B$1001,$A145,Данные!$C$2:$C$1001,"2024-02*")</f>
        <v>0</v>
      </c>
      <c r="H145" s="5">
        <f>SUMIFS(Данные!$D$2:$D$1001,Данные!$B$2:$B$1001,$A145,Данные!$C$2:$C$1001,"2024-03*")</f>
        <v>0</v>
      </c>
      <c r="I145" s="5">
        <f>SUMIFS(Данные!$D$2:$D$1001,Данные!$B$2:$B$1001,$A145,Данные!$C$2:$C$1001,"2024-04*")</f>
        <v>0</v>
      </c>
      <c r="J145" s="5">
        <f>SUMIFS(Данные!$D$2:$D$1001,Данные!$B$2:$B$1001,$A145,Данные!$C$2:$C$1001,"2024-05*")</f>
        <v>0</v>
      </c>
      <c r="K145" s="5">
        <f>SUMIFS(Данные!$D$2:$D$1001,Данные!$B$2:$B$1001,$A145,Данные!$C$2:$C$1001,"2024-06*")</f>
        <v>0</v>
      </c>
      <c r="L145" s="5">
        <f>SUMIFS(Данные!$D$2:$D$1001,Данные!$B$2:$B$1001,$A145,Данные!$C$2:$C$1001,"2024-07*")</f>
        <v>0</v>
      </c>
      <c r="M145" s="5">
        <f>SUMIFS(Данные!$D$2:$D$1001,Данные!$B$2:$B$1001,$A145,Данные!$C$2:$C$1001,"2024-08*")</f>
        <v>0</v>
      </c>
      <c r="N145" s="5">
        <f>SUMIFS(Данные!$D$2:$D$1001,Данные!$B$2:$B$1001,$A145,Данные!$C$2:$C$1001,"2024-09*")</f>
        <v>0</v>
      </c>
      <c r="O145" s="8" t="str">
        <f t="shared" si="14"/>
        <v>B</v>
      </c>
      <c r="P145" s="8" t="str">
        <f t="shared" si="15"/>
        <v>Z</v>
      </c>
      <c r="Q145" s="9">
        <f t="shared" si="16"/>
        <v>201908</v>
      </c>
    </row>
    <row r="146" spans="1:17" ht="14.25" customHeight="1" x14ac:dyDescent="0.25">
      <c r="A146" s="5" t="s">
        <v>301</v>
      </c>
      <c r="B146" s="5">
        <f>SUMIFS(Данные!$D$2:$D$1001,Данные!$B$2:$B$1001,$A146,Данные!$C$2:$C$1001,"2023-09*")</f>
        <v>0</v>
      </c>
      <c r="C146" s="5">
        <f>SUMIFS(Данные!$D$2:$D$1001,Данные!$B$2:$B$1001,$A146,Данные!$C$2:$C$1001,"2023-10*")</f>
        <v>0</v>
      </c>
      <c r="D146" s="5">
        <f>SUMIFS(Данные!$D$2:$D$1001,Данные!$B$2:$B$1001,$A146,Данные!$C$2:$C$1001,"2023-11*")</f>
        <v>0</v>
      </c>
      <c r="E146" s="5">
        <f>SUMIFS(Данные!$D$2:$D$1001,Данные!$B$2:$B$1001,$A146,Данные!$C$2:$C$1001,"2023-12*")</f>
        <v>0</v>
      </c>
      <c r="F146" s="5">
        <f>SUMIFS(Данные!$D$2:$D$1001,Данные!$B$2:$B$1001,$A146,Данные!$C$2:$C$1001,"2024-01*")</f>
        <v>0</v>
      </c>
      <c r="G146" s="5">
        <f>SUMIFS(Данные!$D$2:$D$1001,Данные!$B$2:$B$1001,$A146,Данные!$C$2:$C$1001,"2024-02*")</f>
        <v>81286</v>
      </c>
      <c r="H146" s="5">
        <f>SUMIFS(Данные!$D$2:$D$1001,Данные!$B$2:$B$1001,$A146,Данные!$C$2:$C$1001,"2024-03*")</f>
        <v>0</v>
      </c>
      <c r="I146" s="5">
        <f>SUMIFS(Данные!$D$2:$D$1001,Данные!$B$2:$B$1001,$A146,Данные!$C$2:$C$1001,"2024-04*")</f>
        <v>84552</v>
      </c>
      <c r="J146" s="5">
        <f>SUMIFS(Данные!$D$2:$D$1001,Данные!$B$2:$B$1001,$A146,Данные!$C$2:$C$1001,"2024-05*")</f>
        <v>10312</v>
      </c>
      <c r="K146" s="5">
        <f>SUMIFS(Данные!$D$2:$D$1001,Данные!$B$2:$B$1001,$A146,Данные!$C$2:$C$1001,"2024-06*")</f>
        <v>86574</v>
      </c>
      <c r="L146" s="5">
        <f>SUMIFS(Данные!$D$2:$D$1001,Данные!$B$2:$B$1001,$A146,Данные!$C$2:$C$1001,"2024-07*")</f>
        <v>0</v>
      </c>
      <c r="M146" s="5">
        <f>SUMIFS(Данные!$D$2:$D$1001,Данные!$B$2:$B$1001,$A146,Данные!$C$2:$C$1001,"2024-08*")</f>
        <v>96364</v>
      </c>
      <c r="N146" s="5">
        <f>SUMIFS(Данные!$D$2:$D$1001,Данные!$B$2:$B$1001,$A146,Данные!$C$2:$C$1001,"2024-09*")</f>
        <v>0</v>
      </c>
      <c r="O146" s="8" t="str">
        <f t="shared" si="14"/>
        <v>A</v>
      </c>
      <c r="P146" s="8" t="str">
        <f t="shared" si="15"/>
        <v>Z</v>
      </c>
      <c r="Q146" s="9">
        <f t="shared" si="16"/>
        <v>359088</v>
      </c>
    </row>
    <row r="147" spans="1:17" ht="14.25" customHeight="1" x14ac:dyDescent="0.25">
      <c r="A147" s="5" t="s">
        <v>143</v>
      </c>
      <c r="B147" s="5">
        <f>SUMIFS(Данные!$D$2:$D$1001,Данные!$B$2:$B$1001,$A147,Данные!$C$2:$C$1001,"2023-09*")</f>
        <v>0</v>
      </c>
      <c r="C147" s="5">
        <f>SUMIFS(Данные!$D$2:$D$1001,Данные!$B$2:$B$1001,$A147,Данные!$C$2:$C$1001,"2023-10*")</f>
        <v>33770</v>
      </c>
      <c r="D147" s="5">
        <f>SUMIFS(Данные!$D$2:$D$1001,Данные!$B$2:$B$1001,$A147,Данные!$C$2:$C$1001,"2023-11*")</f>
        <v>0</v>
      </c>
      <c r="E147" s="5">
        <f>SUMIFS(Данные!$D$2:$D$1001,Данные!$B$2:$B$1001,$A147,Данные!$C$2:$C$1001,"2023-12*")</f>
        <v>0</v>
      </c>
      <c r="F147" s="5">
        <f>SUMIFS(Данные!$D$2:$D$1001,Данные!$B$2:$B$1001,$A147,Данные!$C$2:$C$1001,"2024-01*")</f>
        <v>0</v>
      </c>
      <c r="G147" s="5">
        <f>SUMIFS(Данные!$D$2:$D$1001,Данные!$B$2:$B$1001,$A147,Данные!$C$2:$C$1001,"2024-02*")</f>
        <v>0</v>
      </c>
      <c r="H147" s="5">
        <f>SUMIFS(Данные!$D$2:$D$1001,Данные!$B$2:$B$1001,$A147,Данные!$C$2:$C$1001,"2024-03*")</f>
        <v>89345</v>
      </c>
      <c r="I147" s="5">
        <f>SUMIFS(Данные!$D$2:$D$1001,Данные!$B$2:$B$1001,$A147,Данные!$C$2:$C$1001,"2024-04*")</f>
        <v>15984</v>
      </c>
      <c r="J147" s="5">
        <f>SUMIFS(Данные!$D$2:$D$1001,Данные!$B$2:$B$1001,$A147,Данные!$C$2:$C$1001,"2024-05*")</f>
        <v>82668</v>
      </c>
      <c r="K147" s="5">
        <f>SUMIFS(Данные!$D$2:$D$1001,Данные!$B$2:$B$1001,$A147,Данные!$C$2:$C$1001,"2024-06*")</f>
        <v>0</v>
      </c>
      <c r="L147" s="5">
        <f>SUMIFS(Данные!$D$2:$D$1001,Данные!$B$2:$B$1001,$A147,Данные!$C$2:$C$1001,"2024-07*")</f>
        <v>0</v>
      </c>
      <c r="M147" s="5">
        <f>SUMIFS(Данные!$D$2:$D$1001,Данные!$B$2:$B$1001,$A147,Данные!$C$2:$C$1001,"2024-08*")</f>
        <v>44235</v>
      </c>
      <c r="N147" s="5">
        <f>SUMIFS(Данные!$D$2:$D$1001,Данные!$B$2:$B$1001,$A147,Данные!$C$2:$C$1001,"2024-09*")</f>
        <v>0</v>
      </c>
      <c r="O147" s="8" t="str">
        <f t="shared" si="14"/>
        <v>A</v>
      </c>
      <c r="P147" s="8" t="str">
        <f t="shared" si="15"/>
        <v>Z</v>
      </c>
      <c r="Q147" s="9">
        <f t="shared" si="16"/>
        <v>266002</v>
      </c>
    </row>
    <row r="148" spans="1:17" ht="14.25" customHeight="1" x14ac:dyDescent="0.25">
      <c r="A148" s="5" t="s">
        <v>312</v>
      </c>
      <c r="B148" s="5">
        <f>SUMIFS(Данные!$D$2:$D$1001,Данные!$B$2:$B$1001,$A148,Данные!$C$2:$C$1001,"2023-09*")</f>
        <v>0</v>
      </c>
      <c r="C148" s="5">
        <f>SUMIFS(Данные!$D$2:$D$1001,Данные!$B$2:$B$1001,$A148,Данные!$C$2:$C$1001,"2023-10*")</f>
        <v>0</v>
      </c>
      <c r="D148" s="5">
        <f>SUMIFS(Данные!$D$2:$D$1001,Данные!$B$2:$B$1001,$A148,Данные!$C$2:$C$1001,"2023-11*")</f>
        <v>0</v>
      </c>
      <c r="E148" s="5">
        <f>SUMIFS(Данные!$D$2:$D$1001,Данные!$B$2:$B$1001,$A148,Данные!$C$2:$C$1001,"2023-12*")</f>
        <v>0</v>
      </c>
      <c r="F148" s="5">
        <f>SUMIFS(Данные!$D$2:$D$1001,Данные!$B$2:$B$1001,$A148,Данные!$C$2:$C$1001,"2024-01*")</f>
        <v>0</v>
      </c>
      <c r="G148" s="5">
        <f>SUMIFS(Данные!$D$2:$D$1001,Данные!$B$2:$B$1001,$A148,Данные!$C$2:$C$1001,"2024-02*")</f>
        <v>73001</v>
      </c>
      <c r="H148" s="5">
        <f>SUMIFS(Данные!$D$2:$D$1001,Данные!$B$2:$B$1001,$A148,Данные!$C$2:$C$1001,"2024-03*")</f>
        <v>0</v>
      </c>
      <c r="I148" s="5">
        <f>SUMIFS(Данные!$D$2:$D$1001,Данные!$B$2:$B$1001,$A148,Данные!$C$2:$C$1001,"2024-04*")</f>
        <v>0</v>
      </c>
      <c r="J148" s="5">
        <f>SUMIFS(Данные!$D$2:$D$1001,Данные!$B$2:$B$1001,$A148,Данные!$C$2:$C$1001,"2024-05*")</f>
        <v>0</v>
      </c>
      <c r="K148" s="5">
        <f>SUMIFS(Данные!$D$2:$D$1001,Данные!$B$2:$B$1001,$A148,Данные!$C$2:$C$1001,"2024-06*")</f>
        <v>0</v>
      </c>
      <c r="L148" s="5">
        <f>SUMIFS(Данные!$D$2:$D$1001,Данные!$B$2:$B$1001,$A148,Данные!$C$2:$C$1001,"2024-07*")</f>
        <v>0</v>
      </c>
      <c r="M148" s="5">
        <f>SUMIFS(Данные!$D$2:$D$1001,Данные!$B$2:$B$1001,$A148,Данные!$C$2:$C$1001,"2024-08*")</f>
        <v>0</v>
      </c>
      <c r="N148" s="5">
        <f>SUMIFS(Данные!$D$2:$D$1001,Данные!$B$2:$B$1001,$A148,Данные!$C$2:$C$1001,"2024-09*")</f>
        <v>0</v>
      </c>
      <c r="O148" s="8" t="str">
        <f t="shared" si="14"/>
        <v>C</v>
      </c>
      <c r="P148" s="8" t="str">
        <f t="shared" si="15"/>
        <v>Z</v>
      </c>
      <c r="Q148" s="9">
        <f t="shared" si="16"/>
        <v>73001</v>
      </c>
    </row>
    <row r="149" spans="1:17" ht="14.25" customHeight="1" x14ac:dyDescent="0.25">
      <c r="A149" s="5" t="s">
        <v>123</v>
      </c>
      <c r="B149" s="5">
        <f>SUMIFS(Данные!$D$2:$D$1001,Данные!$B$2:$B$1001,$A149,Данные!$C$2:$C$1001,"2023-09*")</f>
        <v>0</v>
      </c>
      <c r="C149" s="5">
        <f>SUMIFS(Данные!$D$2:$D$1001,Данные!$B$2:$B$1001,$A149,Данные!$C$2:$C$1001,"2023-10*")</f>
        <v>108354</v>
      </c>
      <c r="D149" s="5">
        <f>SUMIFS(Данные!$D$2:$D$1001,Данные!$B$2:$B$1001,$A149,Данные!$C$2:$C$1001,"2023-11*")</f>
        <v>0</v>
      </c>
      <c r="E149" s="5">
        <f>SUMIFS(Данные!$D$2:$D$1001,Данные!$B$2:$B$1001,$A149,Данные!$C$2:$C$1001,"2023-12*")</f>
        <v>0</v>
      </c>
      <c r="F149" s="5">
        <f>SUMIFS(Данные!$D$2:$D$1001,Данные!$B$2:$B$1001,$A149,Данные!$C$2:$C$1001,"2024-01*")</f>
        <v>0</v>
      </c>
      <c r="G149" s="5">
        <f>SUMIFS(Данные!$D$2:$D$1001,Данные!$B$2:$B$1001,$A149,Данные!$C$2:$C$1001,"2024-02*")</f>
        <v>233810</v>
      </c>
      <c r="H149" s="5">
        <f>SUMIFS(Данные!$D$2:$D$1001,Данные!$B$2:$B$1001,$A149,Данные!$C$2:$C$1001,"2024-03*")</f>
        <v>68344</v>
      </c>
      <c r="I149" s="5">
        <f>SUMIFS(Данные!$D$2:$D$1001,Данные!$B$2:$B$1001,$A149,Данные!$C$2:$C$1001,"2024-04*")</f>
        <v>131315</v>
      </c>
      <c r="J149" s="5">
        <f>SUMIFS(Данные!$D$2:$D$1001,Данные!$B$2:$B$1001,$A149,Данные!$C$2:$C$1001,"2024-05*")</f>
        <v>0</v>
      </c>
      <c r="K149" s="5">
        <f>SUMIFS(Данные!$D$2:$D$1001,Данные!$B$2:$B$1001,$A149,Данные!$C$2:$C$1001,"2024-06*")</f>
        <v>32829</v>
      </c>
      <c r="L149" s="5">
        <f>SUMIFS(Данные!$D$2:$D$1001,Данные!$B$2:$B$1001,$A149,Данные!$C$2:$C$1001,"2024-07*")</f>
        <v>0</v>
      </c>
      <c r="M149" s="5">
        <f>SUMIFS(Данные!$D$2:$D$1001,Данные!$B$2:$B$1001,$A149,Данные!$C$2:$C$1001,"2024-08*")</f>
        <v>72448</v>
      </c>
      <c r="N149" s="5">
        <f>SUMIFS(Данные!$D$2:$D$1001,Данные!$B$2:$B$1001,$A149,Данные!$C$2:$C$1001,"2024-09*")</f>
        <v>0</v>
      </c>
      <c r="O149" s="8" t="str">
        <f t="shared" si="14"/>
        <v>A</v>
      </c>
      <c r="P149" s="8" t="str">
        <f t="shared" si="15"/>
        <v>Z</v>
      </c>
      <c r="Q149" s="9">
        <f t="shared" si="16"/>
        <v>647100</v>
      </c>
    </row>
    <row r="150" spans="1:17" ht="14.25" customHeight="1" x14ac:dyDescent="0.25">
      <c r="A150" s="5" t="s">
        <v>90</v>
      </c>
      <c r="B150" s="5">
        <f>SUMIFS(Данные!$D$2:$D$1001,Данные!$B$2:$B$1001,$A150,Данные!$C$2:$C$1001,"2023-09*")</f>
        <v>79939</v>
      </c>
      <c r="C150" s="5">
        <f>SUMIFS(Данные!$D$2:$D$1001,Данные!$B$2:$B$1001,$A150,Данные!$C$2:$C$1001,"2023-10*")</f>
        <v>35968</v>
      </c>
      <c r="D150" s="5">
        <f>SUMIFS(Данные!$D$2:$D$1001,Данные!$B$2:$B$1001,$A150,Данные!$C$2:$C$1001,"2023-11*")</f>
        <v>0</v>
      </c>
      <c r="E150" s="5">
        <f>SUMIFS(Данные!$D$2:$D$1001,Данные!$B$2:$B$1001,$A150,Данные!$C$2:$C$1001,"2023-12*")</f>
        <v>0</v>
      </c>
      <c r="F150" s="5">
        <f>SUMIFS(Данные!$D$2:$D$1001,Данные!$B$2:$B$1001,$A150,Данные!$C$2:$C$1001,"2024-01*")</f>
        <v>0</v>
      </c>
      <c r="G150" s="5">
        <f>SUMIFS(Данные!$D$2:$D$1001,Данные!$B$2:$B$1001,$A150,Данные!$C$2:$C$1001,"2024-02*")</f>
        <v>0</v>
      </c>
      <c r="H150" s="5">
        <f>SUMIFS(Данные!$D$2:$D$1001,Данные!$B$2:$B$1001,$A150,Данные!$C$2:$C$1001,"2024-03*")</f>
        <v>90989</v>
      </c>
      <c r="I150" s="5">
        <f>SUMIFS(Данные!$D$2:$D$1001,Данные!$B$2:$B$1001,$A150,Данные!$C$2:$C$1001,"2024-04*")</f>
        <v>0</v>
      </c>
      <c r="J150" s="5">
        <f>SUMIFS(Данные!$D$2:$D$1001,Данные!$B$2:$B$1001,$A150,Данные!$C$2:$C$1001,"2024-05*")</f>
        <v>0</v>
      </c>
      <c r="K150" s="5">
        <f>SUMIFS(Данные!$D$2:$D$1001,Данные!$B$2:$B$1001,$A150,Данные!$C$2:$C$1001,"2024-06*")</f>
        <v>0</v>
      </c>
      <c r="L150" s="5">
        <f>SUMIFS(Данные!$D$2:$D$1001,Данные!$B$2:$B$1001,$A150,Данные!$C$2:$C$1001,"2024-07*")</f>
        <v>0</v>
      </c>
      <c r="M150" s="5">
        <f>SUMIFS(Данные!$D$2:$D$1001,Данные!$B$2:$B$1001,$A150,Данные!$C$2:$C$1001,"2024-08*")</f>
        <v>0</v>
      </c>
      <c r="N150" s="5">
        <f>SUMIFS(Данные!$D$2:$D$1001,Данные!$B$2:$B$1001,$A150,Данные!$C$2:$C$1001,"2024-09*")</f>
        <v>0</v>
      </c>
      <c r="O150" s="8" t="str">
        <f t="shared" si="14"/>
        <v>B</v>
      </c>
      <c r="P150" s="8" t="str">
        <f t="shared" si="15"/>
        <v>Z</v>
      </c>
      <c r="Q150" s="9">
        <f t="shared" si="16"/>
        <v>206896</v>
      </c>
    </row>
    <row r="151" spans="1:17" ht="14.25" customHeight="1" x14ac:dyDescent="0.25">
      <c r="A151" s="5" t="s">
        <v>196</v>
      </c>
      <c r="B151" s="5">
        <f>SUMIFS(Данные!$D$2:$D$1001,Данные!$B$2:$B$1001,$A151,Данные!$C$2:$C$1001,"2023-09*")</f>
        <v>0</v>
      </c>
      <c r="C151" s="5">
        <f>SUMIFS(Данные!$D$2:$D$1001,Данные!$B$2:$B$1001,$A151,Данные!$C$2:$C$1001,"2023-10*")</f>
        <v>0</v>
      </c>
      <c r="D151" s="5">
        <f>SUMIFS(Данные!$D$2:$D$1001,Данные!$B$2:$B$1001,$A151,Данные!$C$2:$C$1001,"2023-11*")</f>
        <v>94270</v>
      </c>
      <c r="E151" s="5">
        <f>SUMIFS(Данные!$D$2:$D$1001,Данные!$B$2:$B$1001,$A151,Данные!$C$2:$C$1001,"2023-12*")</f>
        <v>0</v>
      </c>
      <c r="F151" s="5">
        <f>SUMIFS(Данные!$D$2:$D$1001,Данные!$B$2:$B$1001,$A151,Данные!$C$2:$C$1001,"2024-01*")</f>
        <v>0</v>
      </c>
      <c r="G151" s="5">
        <f>SUMIFS(Данные!$D$2:$D$1001,Данные!$B$2:$B$1001,$A151,Данные!$C$2:$C$1001,"2024-02*")</f>
        <v>0</v>
      </c>
      <c r="H151" s="5">
        <f>SUMIFS(Данные!$D$2:$D$1001,Данные!$B$2:$B$1001,$A151,Данные!$C$2:$C$1001,"2024-03*")</f>
        <v>0</v>
      </c>
      <c r="I151" s="5">
        <f>SUMIFS(Данные!$D$2:$D$1001,Данные!$B$2:$B$1001,$A151,Данные!$C$2:$C$1001,"2024-04*")</f>
        <v>0</v>
      </c>
      <c r="J151" s="5">
        <f>SUMIFS(Данные!$D$2:$D$1001,Данные!$B$2:$B$1001,$A151,Данные!$C$2:$C$1001,"2024-05*")</f>
        <v>64370</v>
      </c>
      <c r="K151" s="5">
        <f>SUMIFS(Данные!$D$2:$D$1001,Данные!$B$2:$B$1001,$A151,Данные!$C$2:$C$1001,"2024-06*")</f>
        <v>68652</v>
      </c>
      <c r="L151" s="5">
        <f>SUMIFS(Данные!$D$2:$D$1001,Данные!$B$2:$B$1001,$A151,Данные!$C$2:$C$1001,"2024-07*")</f>
        <v>86605</v>
      </c>
      <c r="M151" s="5">
        <f>SUMIFS(Данные!$D$2:$D$1001,Данные!$B$2:$B$1001,$A151,Данные!$C$2:$C$1001,"2024-08*")</f>
        <v>0</v>
      </c>
      <c r="N151" s="5">
        <f>SUMIFS(Данные!$D$2:$D$1001,Данные!$B$2:$B$1001,$A151,Данные!$C$2:$C$1001,"2024-09*")</f>
        <v>0</v>
      </c>
      <c r="O151" s="8" t="str">
        <f t="shared" si="14"/>
        <v>A</v>
      </c>
      <c r="P151" s="8" t="str">
        <f t="shared" si="15"/>
        <v>Z</v>
      </c>
      <c r="Q151" s="9">
        <f t="shared" si="16"/>
        <v>313897</v>
      </c>
    </row>
    <row r="152" spans="1:17" ht="14.25" customHeight="1" x14ac:dyDescent="0.25">
      <c r="A152" s="5" t="s">
        <v>183</v>
      </c>
      <c r="B152" s="5">
        <f>SUMIFS(Данные!$D$2:$D$1001,Данные!$B$2:$B$1001,$A152,Данные!$C$2:$C$1001,"2023-09*")</f>
        <v>0</v>
      </c>
      <c r="C152" s="5">
        <f>SUMIFS(Данные!$D$2:$D$1001,Данные!$B$2:$B$1001,$A152,Данные!$C$2:$C$1001,"2023-10*")</f>
        <v>0</v>
      </c>
      <c r="D152" s="5">
        <f>SUMIFS(Данные!$D$2:$D$1001,Данные!$B$2:$B$1001,$A152,Данные!$C$2:$C$1001,"2023-11*")</f>
        <v>160075</v>
      </c>
      <c r="E152" s="5">
        <f>SUMIFS(Данные!$D$2:$D$1001,Данные!$B$2:$B$1001,$A152,Данные!$C$2:$C$1001,"2023-12*")</f>
        <v>0</v>
      </c>
      <c r="F152" s="5">
        <f>SUMIFS(Данные!$D$2:$D$1001,Данные!$B$2:$B$1001,$A152,Данные!$C$2:$C$1001,"2024-01*")</f>
        <v>0</v>
      </c>
      <c r="G152" s="5">
        <f>SUMIFS(Данные!$D$2:$D$1001,Данные!$B$2:$B$1001,$A152,Данные!$C$2:$C$1001,"2024-02*")</f>
        <v>0</v>
      </c>
      <c r="H152" s="5">
        <f>SUMIFS(Данные!$D$2:$D$1001,Данные!$B$2:$B$1001,$A152,Данные!$C$2:$C$1001,"2024-03*")</f>
        <v>0</v>
      </c>
      <c r="I152" s="5">
        <f>SUMIFS(Данные!$D$2:$D$1001,Данные!$B$2:$B$1001,$A152,Данные!$C$2:$C$1001,"2024-04*")</f>
        <v>0</v>
      </c>
      <c r="J152" s="5">
        <f>SUMIFS(Данные!$D$2:$D$1001,Данные!$B$2:$B$1001,$A152,Данные!$C$2:$C$1001,"2024-05*")</f>
        <v>0</v>
      </c>
      <c r="K152" s="5">
        <f>SUMIFS(Данные!$D$2:$D$1001,Данные!$B$2:$B$1001,$A152,Данные!$C$2:$C$1001,"2024-06*")</f>
        <v>0</v>
      </c>
      <c r="L152" s="5">
        <f>SUMIFS(Данные!$D$2:$D$1001,Данные!$B$2:$B$1001,$A152,Данные!$C$2:$C$1001,"2024-07*")</f>
        <v>0</v>
      </c>
      <c r="M152" s="5">
        <f>SUMIFS(Данные!$D$2:$D$1001,Данные!$B$2:$B$1001,$A152,Данные!$C$2:$C$1001,"2024-08*")</f>
        <v>0</v>
      </c>
      <c r="N152" s="5">
        <f>SUMIFS(Данные!$D$2:$D$1001,Данные!$B$2:$B$1001,$A152,Данные!$C$2:$C$1001,"2024-09*")</f>
        <v>0</v>
      </c>
      <c r="O152" s="8" t="str">
        <f t="shared" si="14"/>
        <v>B</v>
      </c>
      <c r="P152" s="8" t="str">
        <f t="shared" si="15"/>
        <v>Z</v>
      </c>
      <c r="Q152" s="9">
        <f t="shared" si="16"/>
        <v>160075</v>
      </c>
    </row>
    <row r="153" spans="1:17" ht="14.25" customHeight="1" x14ac:dyDescent="0.25">
      <c r="A153" s="5" t="s">
        <v>224</v>
      </c>
      <c r="B153" s="5">
        <f>SUMIFS(Данные!$D$2:$D$1001,Данные!$B$2:$B$1001,$A153,Данные!$C$2:$C$1001,"2023-09*")</f>
        <v>0</v>
      </c>
      <c r="C153" s="5">
        <f>SUMIFS(Данные!$D$2:$D$1001,Данные!$B$2:$B$1001,$A153,Данные!$C$2:$C$1001,"2023-10*")</f>
        <v>0</v>
      </c>
      <c r="D153" s="5">
        <f>SUMIFS(Данные!$D$2:$D$1001,Данные!$B$2:$B$1001,$A153,Данные!$C$2:$C$1001,"2023-11*")</f>
        <v>0</v>
      </c>
      <c r="E153" s="5">
        <f>SUMIFS(Данные!$D$2:$D$1001,Данные!$B$2:$B$1001,$A153,Данные!$C$2:$C$1001,"2023-12*")</f>
        <v>46495</v>
      </c>
      <c r="F153" s="5">
        <f>SUMIFS(Данные!$D$2:$D$1001,Данные!$B$2:$B$1001,$A153,Данные!$C$2:$C$1001,"2024-01*")</f>
        <v>0</v>
      </c>
      <c r="G153" s="5">
        <f>SUMIFS(Данные!$D$2:$D$1001,Данные!$B$2:$B$1001,$A153,Данные!$C$2:$C$1001,"2024-02*")</f>
        <v>0</v>
      </c>
      <c r="H153" s="5">
        <f>SUMIFS(Данные!$D$2:$D$1001,Данные!$B$2:$B$1001,$A153,Данные!$C$2:$C$1001,"2024-03*")</f>
        <v>12645</v>
      </c>
      <c r="I153" s="5">
        <f>SUMIFS(Данные!$D$2:$D$1001,Данные!$B$2:$B$1001,$A153,Данные!$C$2:$C$1001,"2024-04*")</f>
        <v>0</v>
      </c>
      <c r="J153" s="5">
        <f>SUMIFS(Данные!$D$2:$D$1001,Данные!$B$2:$B$1001,$A153,Данные!$C$2:$C$1001,"2024-05*")</f>
        <v>0</v>
      </c>
      <c r="K153" s="5">
        <f>SUMIFS(Данные!$D$2:$D$1001,Данные!$B$2:$B$1001,$A153,Данные!$C$2:$C$1001,"2024-06*")</f>
        <v>0</v>
      </c>
      <c r="L153" s="5">
        <f>SUMIFS(Данные!$D$2:$D$1001,Данные!$B$2:$B$1001,$A153,Данные!$C$2:$C$1001,"2024-07*")</f>
        <v>182253</v>
      </c>
      <c r="M153" s="5">
        <f>SUMIFS(Данные!$D$2:$D$1001,Данные!$B$2:$B$1001,$A153,Данные!$C$2:$C$1001,"2024-08*")</f>
        <v>0</v>
      </c>
      <c r="N153" s="5">
        <f>SUMIFS(Данные!$D$2:$D$1001,Данные!$B$2:$B$1001,$A153,Данные!$C$2:$C$1001,"2024-09*")</f>
        <v>0</v>
      </c>
      <c r="O153" s="8" t="str">
        <f t="shared" si="14"/>
        <v>A</v>
      </c>
      <c r="P153" s="8" t="str">
        <f t="shared" si="15"/>
        <v>Z</v>
      </c>
      <c r="Q153" s="9">
        <f t="shared" si="16"/>
        <v>241393</v>
      </c>
    </row>
    <row r="154" spans="1:17" ht="14.25" customHeight="1" x14ac:dyDescent="0.25">
      <c r="A154" s="5" t="s">
        <v>49</v>
      </c>
      <c r="B154" s="5">
        <f>SUMIFS(Данные!$D$2:$D$1001,Данные!$B$2:$B$1001,$A154,Данные!$C$2:$C$1001,"2023-09*")</f>
        <v>102081</v>
      </c>
      <c r="C154" s="5">
        <f>SUMIFS(Данные!$D$2:$D$1001,Данные!$B$2:$B$1001,$A154,Данные!$C$2:$C$1001,"2023-10*")</f>
        <v>0</v>
      </c>
      <c r="D154" s="5">
        <f>SUMIFS(Данные!$D$2:$D$1001,Данные!$B$2:$B$1001,$A154,Данные!$C$2:$C$1001,"2023-11*")</f>
        <v>46699</v>
      </c>
      <c r="E154" s="5">
        <f>SUMIFS(Данные!$D$2:$D$1001,Данные!$B$2:$B$1001,$A154,Данные!$C$2:$C$1001,"2023-12*")</f>
        <v>0</v>
      </c>
      <c r="F154" s="5">
        <f>SUMIFS(Данные!$D$2:$D$1001,Данные!$B$2:$B$1001,$A154,Данные!$C$2:$C$1001,"2024-01*")</f>
        <v>90430</v>
      </c>
      <c r="G154" s="5">
        <f>SUMIFS(Данные!$D$2:$D$1001,Данные!$B$2:$B$1001,$A154,Данные!$C$2:$C$1001,"2024-02*")</f>
        <v>0</v>
      </c>
      <c r="H154" s="5">
        <f>SUMIFS(Данные!$D$2:$D$1001,Данные!$B$2:$B$1001,$A154,Данные!$C$2:$C$1001,"2024-03*")</f>
        <v>0</v>
      </c>
      <c r="I154" s="5">
        <f>SUMIFS(Данные!$D$2:$D$1001,Данные!$B$2:$B$1001,$A154,Данные!$C$2:$C$1001,"2024-04*")</f>
        <v>93832</v>
      </c>
      <c r="J154" s="5">
        <f>SUMIFS(Данные!$D$2:$D$1001,Данные!$B$2:$B$1001,$A154,Данные!$C$2:$C$1001,"2024-05*")</f>
        <v>0</v>
      </c>
      <c r="K154" s="5">
        <f>SUMIFS(Данные!$D$2:$D$1001,Данные!$B$2:$B$1001,$A154,Данные!$C$2:$C$1001,"2024-06*")</f>
        <v>72074</v>
      </c>
      <c r="L154" s="5">
        <f>SUMIFS(Данные!$D$2:$D$1001,Данные!$B$2:$B$1001,$A154,Данные!$C$2:$C$1001,"2024-07*")</f>
        <v>0</v>
      </c>
      <c r="M154" s="5">
        <f>SUMIFS(Данные!$D$2:$D$1001,Данные!$B$2:$B$1001,$A154,Данные!$C$2:$C$1001,"2024-08*")</f>
        <v>66885</v>
      </c>
      <c r="N154" s="5">
        <f>SUMIFS(Данные!$D$2:$D$1001,Данные!$B$2:$B$1001,$A154,Данные!$C$2:$C$1001,"2024-09*")</f>
        <v>0</v>
      </c>
      <c r="O154" s="8" t="str">
        <f t="shared" si="14"/>
        <v>A</v>
      </c>
      <c r="P154" s="8" t="str">
        <f t="shared" si="15"/>
        <v>Z</v>
      </c>
      <c r="Q154" s="9">
        <f t="shared" si="16"/>
        <v>472001</v>
      </c>
    </row>
    <row r="155" spans="1:17" ht="14.25" customHeight="1" x14ac:dyDescent="0.25">
      <c r="A155" s="5" t="s">
        <v>352</v>
      </c>
      <c r="B155" s="5">
        <f>SUMIFS(Данные!$D$2:$D$1001,Данные!$B$2:$B$1001,$A155,Данные!$C$2:$C$1001,"2023-09*")</f>
        <v>0</v>
      </c>
      <c r="C155" s="5">
        <f>SUMIFS(Данные!$D$2:$D$1001,Данные!$B$2:$B$1001,$A155,Данные!$C$2:$C$1001,"2023-10*")</f>
        <v>0</v>
      </c>
      <c r="D155" s="5">
        <f>SUMIFS(Данные!$D$2:$D$1001,Данные!$B$2:$B$1001,$A155,Данные!$C$2:$C$1001,"2023-11*")</f>
        <v>0</v>
      </c>
      <c r="E155" s="5">
        <f>SUMIFS(Данные!$D$2:$D$1001,Данные!$B$2:$B$1001,$A155,Данные!$C$2:$C$1001,"2023-12*")</f>
        <v>0</v>
      </c>
      <c r="F155" s="5">
        <f>SUMIFS(Данные!$D$2:$D$1001,Данные!$B$2:$B$1001,$A155,Данные!$C$2:$C$1001,"2024-01*")</f>
        <v>0</v>
      </c>
      <c r="G155" s="5">
        <f>SUMIFS(Данные!$D$2:$D$1001,Данные!$B$2:$B$1001,$A155,Данные!$C$2:$C$1001,"2024-02*")</f>
        <v>0</v>
      </c>
      <c r="H155" s="5">
        <f>SUMIFS(Данные!$D$2:$D$1001,Данные!$B$2:$B$1001,$A155,Данные!$C$2:$C$1001,"2024-03*")</f>
        <v>0</v>
      </c>
      <c r="I155" s="5">
        <f>SUMIFS(Данные!$D$2:$D$1001,Данные!$B$2:$B$1001,$A155,Данные!$C$2:$C$1001,"2024-04*")</f>
        <v>101314</v>
      </c>
      <c r="J155" s="5">
        <f>SUMIFS(Данные!$D$2:$D$1001,Данные!$B$2:$B$1001,$A155,Данные!$C$2:$C$1001,"2024-05*")</f>
        <v>0</v>
      </c>
      <c r="K155" s="5">
        <f>SUMIFS(Данные!$D$2:$D$1001,Данные!$B$2:$B$1001,$A155,Данные!$C$2:$C$1001,"2024-06*")</f>
        <v>0</v>
      </c>
      <c r="L155" s="5">
        <f>SUMIFS(Данные!$D$2:$D$1001,Данные!$B$2:$B$1001,$A155,Данные!$C$2:$C$1001,"2024-07*")</f>
        <v>0</v>
      </c>
      <c r="M155" s="5">
        <f>SUMIFS(Данные!$D$2:$D$1001,Данные!$B$2:$B$1001,$A155,Данные!$C$2:$C$1001,"2024-08*")</f>
        <v>0</v>
      </c>
      <c r="N155" s="5">
        <f>SUMIFS(Данные!$D$2:$D$1001,Данные!$B$2:$B$1001,$A155,Данные!$C$2:$C$1001,"2024-09*")</f>
        <v>0</v>
      </c>
      <c r="O155" s="8" t="str">
        <f t="shared" si="14"/>
        <v>C</v>
      </c>
      <c r="P155" s="8" t="str">
        <f t="shared" si="15"/>
        <v>Z</v>
      </c>
      <c r="Q155" s="9">
        <f t="shared" si="16"/>
        <v>101314</v>
      </c>
    </row>
    <row r="156" spans="1:17" ht="14.25" customHeight="1" x14ac:dyDescent="0.25">
      <c r="A156" s="5" t="s">
        <v>102</v>
      </c>
      <c r="B156" s="5">
        <f>SUMIFS(Данные!$D$2:$D$1001,Данные!$B$2:$B$1001,$A156,Данные!$C$2:$C$1001,"2023-09*")</f>
        <v>80402</v>
      </c>
      <c r="C156" s="5">
        <f>SUMIFS(Данные!$D$2:$D$1001,Данные!$B$2:$B$1001,$A156,Данные!$C$2:$C$1001,"2023-10*")</f>
        <v>94870</v>
      </c>
      <c r="D156" s="5">
        <f>SUMIFS(Данные!$D$2:$D$1001,Данные!$B$2:$B$1001,$A156,Данные!$C$2:$C$1001,"2023-11*")</f>
        <v>0</v>
      </c>
      <c r="E156" s="5">
        <f>SUMIFS(Данные!$D$2:$D$1001,Данные!$B$2:$B$1001,$A156,Данные!$C$2:$C$1001,"2023-12*")</f>
        <v>0</v>
      </c>
      <c r="F156" s="5">
        <f>SUMIFS(Данные!$D$2:$D$1001,Данные!$B$2:$B$1001,$A156,Данные!$C$2:$C$1001,"2024-01*")</f>
        <v>0</v>
      </c>
      <c r="G156" s="5">
        <f>SUMIFS(Данные!$D$2:$D$1001,Данные!$B$2:$B$1001,$A156,Данные!$C$2:$C$1001,"2024-02*")</f>
        <v>0</v>
      </c>
      <c r="H156" s="5">
        <f>SUMIFS(Данные!$D$2:$D$1001,Данные!$B$2:$B$1001,$A156,Данные!$C$2:$C$1001,"2024-03*")</f>
        <v>0</v>
      </c>
      <c r="I156" s="5">
        <f>SUMIFS(Данные!$D$2:$D$1001,Данные!$B$2:$B$1001,$A156,Данные!$C$2:$C$1001,"2024-04*")</f>
        <v>0</v>
      </c>
      <c r="J156" s="5">
        <f>SUMIFS(Данные!$D$2:$D$1001,Данные!$B$2:$B$1001,$A156,Данные!$C$2:$C$1001,"2024-05*")</f>
        <v>51645</v>
      </c>
      <c r="K156" s="5">
        <f>SUMIFS(Данные!$D$2:$D$1001,Данные!$B$2:$B$1001,$A156,Данные!$C$2:$C$1001,"2024-06*")</f>
        <v>0</v>
      </c>
      <c r="L156" s="5">
        <f>SUMIFS(Данные!$D$2:$D$1001,Данные!$B$2:$B$1001,$A156,Данные!$C$2:$C$1001,"2024-07*")</f>
        <v>131330</v>
      </c>
      <c r="M156" s="5">
        <f>SUMIFS(Данные!$D$2:$D$1001,Данные!$B$2:$B$1001,$A156,Данные!$C$2:$C$1001,"2024-08*")</f>
        <v>0</v>
      </c>
      <c r="N156" s="5">
        <f>SUMIFS(Данные!$D$2:$D$1001,Данные!$B$2:$B$1001,$A156,Данные!$C$2:$C$1001,"2024-09*")</f>
        <v>0</v>
      </c>
      <c r="O156" s="8" t="str">
        <f t="shared" si="14"/>
        <v>A</v>
      </c>
      <c r="P156" s="8" t="str">
        <f t="shared" si="15"/>
        <v>Z</v>
      </c>
      <c r="Q156" s="9">
        <f t="shared" si="16"/>
        <v>358247</v>
      </c>
    </row>
    <row r="157" spans="1:17" ht="14.25" customHeight="1" x14ac:dyDescent="0.25">
      <c r="A157" s="5" t="s">
        <v>299</v>
      </c>
      <c r="B157" s="5">
        <f>SUMIFS(Данные!$D$2:$D$1001,Данные!$B$2:$B$1001,$A157,Данные!$C$2:$C$1001,"2023-09*")</f>
        <v>0</v>
      </c>
      <c r="C157" s="5">
        <f>SUMIFS(Данные!$D$2:$D$1001,Данные!$B$2:$B$1001,$A157,Данные!$C$2:$C$1001,"2023-10*")</f>
        <v>0</v>
      </c>
      <c r="D157" s="5">
        <f>SUMIFS(Данные!$D$2:$D$1001,Данные!$B$2:$B$1001,$A157,Данные!$C$2:$C$1001,"2023-11*")</f>
        <v>0</v>
      </c>
      <c r="E157" s="5">
        <f>SUMIFS(Данные!$D$2:$D$1001,Данные!$B$2:$B$1001,$A157,Данные!$C$2:$C$1001,"2023-12*")</f>
        <v>0</v>
      </c>
      <c r="F157" s="5">
        <f>SUMIFS(Данные!$D$2:$D$1001,Данные!$B$2:$B$1001,$A157,Данные!$C$2:$C$1001,"2024-01*")</f>
        <v>0</v>
      </c>
      <c r="G157" s="5">
        <f>SUMIFS(Данные!$D$2:$D$1001,Данные!$B$2:$B$1001,$A157,Данные!$C$2:$C$1001,"2024-02*")</f>
        <v>49109</v>
      </c>
      <c r="H157" s="5">
        <f>SUMIFS(Данные!$D$2:$D$1001,Данные!$B$2:$B$1001,$A157,Данные!$C$2:$C$1001,"2024-03*")</f>
        <v>0</v>
      </c>
      <c r="I157" s="5">
        <f>SUMIFS(Данные!$D$2:$D$1001,Данные!$B$2:$B$1001,$A157,Данные!$C$2:$C$1001,"2024-04*")</f>
        <v>0</v>
      </c>
      <c r="J157" s="5">
        <f>SUMIFS(Данные!$D$2:$D$1001,Данные!$B$2:$B$1001,$A157,Данные!$C$2:$C$1001,"2024-05*")</f>
        <v>0</v>
      </c>
      <c r="K157" s="5">
        <f>SUMIFS(Данные!$D$2:$D$1001,Данные!$B$2:$B$1001,$A157,Данные!$C$2:$C$1001,"2024-06*")</f>
        <v>25794</v>
      </c>
      <c r="L157" s="5">
        <f>SUMIFS(Данные!$D$2:$D$1001,Данные!$B$2:$B$1001,$A157,Данные!$C$2:$C$1001,"2024-07*")</f>
        <v>36464</v>
      </c>
      <c r="M157" s="5">
        <f>SUMIFS(Данные!$D$2:$D$1001,Данные!$B$2:$B$1001,$A157,Данные!$C$2:$C$1001,"2024-08*")</f>
        <v>19467</v>
      </c>
      <c r="N157" s="5">
        <f>SUMIFS(Данные!$D$2:$D$1001,Данные!$B$2:$B$1001,$A157,Данные!$C$2:$C$1001,"2024-09*")</f>
        <v>0</v>
      </c>
      <c r="O157" s="8" t="str">
        <f t="shared" si="14"/>
        <v>C</v>
      </c>
      <c r="P157" s="8" t="str">
        <f t="shared" si="15"/>
        <v>Z</v>
      </c>
      <c r="Q157" s="9">
        <f t="shared" si="16"/>
        <v>130834</v>
      </c>
    </row>
    <row r="158" spans="1:17" ht="14.25" customHeight="1" x14ac:dyDescent="0.25">
      <c r="A158" s="5" t="s">
        <v>230</v>
      </c>
      <c r="B158" s="5">
        <f>SUMIFS(Данные!$D$2:$D$1001,Данные!$B$2:$B$1001,$A158,Данные!$C$2:$C$1001,"2023-09*")</f>
        <v>0</v>
      </c>
      <c r="C158" s="5">
        <f>SUMIFS(Данные!$D$2:$D$1001,Данные!$B$2:$B$1001,$A158,Данные!$C$2:$C$1001,"2023-10*")</f>
        <v>0</v>
      </c>
      <c r="D158" s="5">
        <f>SUMIFS(Данные!$D$2:$D$1001,Данные!$B$2:$B$1001,$A158,Данные!$C$2:$C$1001,"2023-11*")</f>
        <v>0</v>
      </c>
      <c r="E158" s="5">
        <f>SUMIFS(Данные!$D$2:$D$1001,Данные!$B$2:$B$1001,$A158,Данные!$C$2:$C$1001,"2023-12*")</f>
        <v>17159</v>
      </c>
      <c r="F158" s="5">
        <f>SUMIFS(Данные!$D$2:$D$1001,Данные!$B$2:$B$1001,$A158,Данные!$C$2:$C$1001,"2024-01*")</f>
        <v>0</v>
      </c>
      <c r="G158" s="5">
        <f>SUMIFS(Данные!$D$2:$D$1001,Данные!$B$2:$B$1001,$A158,Данные!$C$2:$C$1001,"2024-02*")</f>
        <v>32190</v>
      </c>
      <c r="H158" s="5">
        <f>SUMIFS(Данные!$D$2:$D$1001,Данные!$B$2:$B$1001,$A158,Данные!$C$2:$C$1001,"2024-03*")</f>
        <v>148853</v>
      </c>
      <c r="I158" s="5">
        <f>SUMIFS(Данные!$D$2:$D$1001,Данные!$B$2:$B$1001,$A158,Данные!$C$2:$C$1001,"2024-04*")</f>
        <v>24739</v>
      </c>
      <c r="J158" s="5">
        <f>SUMIFS(Данные!$D$2:$D$1001,Данные!$B$2:$B$1001,$A158,Данные!$C$2:$C$1001,"2024-05*")</f>
        <v>0</v>
      </c>
      <c r="K158" s="5">
        <f>SUMIFS(Данные!$D$2:$D$1001,Данные!$B$2:$B$1001,$A158,Данные!$C$2:$C$1001,"2024-06*")</f>
        <v>0</v>
      </c>
      <c r="L158" s="5">
        <f>SUMIFS(Данные!$D$2:$D$1001,Данные!$B$2:$B$1001,$A158,Данные!$C$2:$C$1001,"2024-07*")</f>
        <v>0</v>
      </c>
      <c r="M158" s="5">
        <f>SUMIFS(Данные!$D$2:$D$1001,Данные!$B$2:$B$1001,$A158,Данные!$C$2:$C$1001,"2024-08*")</f>
        <v>0</v>
      </c>
      <c r="N158" s="5">
        <f>SUMIFS(Данные!$D$2:$D$1001,Данные!$B$2:$B$1001,$A158,Данные!$C$2:$C$1001,"2024-09*")</f>
        <v>0</v>
      </c>
      <c r="O158" s="8" t="str">
        <f t="shared" si="14"/>
        <v>B</v>
      </c>
      <c r="P158" s="8" t="str">
        <f t="shared" si="15"/>
        <v>Z</v>
      </c>
      <c r="Q158" s="9">
        <f t="shared" si="16"/>
        <v>222941</v>
      </c>
    </row>
    <row r="159" spans="1:17" ht="14.25" customHeight="1" x14ac:dyDescent="0.25">
      <c r="A159" s="5" t="s">
        <v>168</v>
      </c>
      <c r="B159" s="5">
        <f>SUMIFS(Данные!$D$2:$D$1001,Данные!$B$2:$B$1001,$A159,Данные!$C$2:$C$1001,"2023-09*")</f>
        <v>0</v>
      </c>
      <c r="C159" s="5">
        <f>SUMIFS(Данные!$D$2:$D$1001,Данные!$B$2:$B$1001,$A159,Данные!$C$2:$C$1001,"2023-10*")</f>
        <v>0</v>
      </c>
      <c r="D159" s="5">
        <f>SUMIFS(Данные!$D$2:$D$1001,Данные!$B$2:$B$1001,$A159,Данные!$C$2:$C$1001,"2023-11*")</f>
        <v>27593</v>
      </c>
      <c r="E159" s="5">
        <f>SUMIFS(Данные!$D$2:$D$1001,Данные!$B$2:$B$1001,$A159,Данные!$C$2:$C$1001,"2023-12*")</f>
        <v>114981</v>
      </c>
      <c r="F159" s="5">
        <f>SUMIFS(Данные!$D$2:$D$1001,Данные!$B$2:$B$1001,$A159,Данные!$C$2:$C$1001,"2024-01*")</f>
        <v>0</v>
      </c>
      <c r="G159" s="5">
        <f>SUMIFS(Данные!$D$2:$D$1001,Данные!$B$2:$B$1001,$A159,Данные!$C$2:$C$1001,"2024-02*")</f>
        <v>0</v>
      </c>
      <c r="H159" s="5">
        <f>SUMIFS(Данные!$D$2:$D$1001,Данные!$B$2:$B$1001,$A159,Данные!$C$2:$C$1001,"2024-03*")</f>
        <v>0</v>
      </c>
      <c r="I159" s="5">
        <f>SUMIFS(Данные!$D$2:$D$1001,Данные!$B$2:$B$1001,$A159,Данные!$C$2:$C$1001,"2024-04*")</f>
        <v>69318</v>
      </c>
      <c r="J159" s="5">
        <f>SUMIFS(Данные!$D$2:$D$1001,Данные!$B$2:$B$1001,$A159,Данные!$C$2:$C$1001,"2024-05*")</f>
        <v>0</v>
      </c>
      <c r="K159" s="5">
        <f>SUMIFS(Данные!$D$2:$D$1001,Данные!$B$2:$B$1001,$A159,Данные!$C$2:$C$1001,"2024-06*")</f>
        <v>64955</v>
      </c>
      <c r="L159" s="5">
        <f>SUMIFS(Данные!$D$2:$D$1001,Данные!$B$2:$B$1001,$A159,Данные!$C$2:$C$1001,"2024-07*")</f>
        <v>34183</v>
      </c>
      <c r="M159" s="5">
        <f>SUMIFS(Данные!$D$2:$D$1001,Данные!$B$2:$B$1001,$A159,Данные!$C$2:$C$1001,"2024-08*")</f>
        <v>0</v>
      </c>
      <c r="N159" s="5">
        <f>SUMIFS(Данные!$D$2:$D$1001,Данные!$B$2:$B$1001,$A159,Данные!$C$2:$C$1001,"2024-09*")</f>
        <v>0</v>
      </c>
      <c r="O159" s="8" t="str">
        <f t="shared" si="14"/>
        <v>A</v>
      </c>
      <c r="P159" s="8" t="str">
        <f t="shared" si="15"/>
        <v>Z</v>
      </c>
      <c r="Q159" s="9">
        <f t="shared" si="16"/>
        <v>311030</v>
      </c>
    </row>
    <row r="160" spans="1:17" ht="14.25" customHeight="1" x14ac:dyDescent="0.25">
      <c r="A160" s="5" t="s">
        <v>144</v>
      </c>
      <c r="B160" s="5">
        <f>SUMIFS(Данные!$D$2:$D$1001,Данные!$B$2:$B$1001,$A160,Данные!$C$2:$C$1001,"2023-09*")</f>
        <v>0</v>
      </c>
      <c r="C160" s="5">
        <f>SUMIFS(Данные!$D$2:$D$1001,Данные!$B$2:$B$1001,$A160,Данные!$C$2:$C$1001,"2023-10*")</f>
        <v>26576</v>
      </c>
      <c r="D160" s="5">
        <f>SUMIFS(Данные!$D$2:$D$1001,Данные!$B$2:$B$1001,$A160,Данные!$C$2:$C$1001,"2023-11*")</f>
        <v>0</v>
      </c>
      <c r="E160" s="5">
        <f>SUMIFS(Данные!$D$2:$D$1001,Данные!$B$2:$B$1001,$A160,Данные!$C$2:$C$1001,"2023-12*")</f>
        <v>0</v>
      </c>
      <c r="F160" s="5">
        <f>SUMIFS(Данные!$D$2:$D$1001,Данные!$B$2:$B$1001,$A160,Данные!$C$2:$C$1001,"2024-01*")</f>
        <v>131606</v>
      </c>
      <c r="G160" s="5">
        <f>SUMIFS(Данные!$D$2:$D$1001,Данные!$B$2:$B$1001,$A160,Данные!$C$2:$C$1001,"2024-02*")</f>
        <v>0</v>
      </c>
      <c r="H160" s="5">
        <f>SUMIFS(Данные!$D$2:$D$1001,Данные!$B$2:$B$1001,$A160,Данные!$C$2:$C$1001,"2024-03*")</f>
        <v>85299</v>
      </c>
      <c r="I160" s="5">
        <f>SUMIFS(Данные!$D$2:$D$1001,Данные!$B$2:$B$1001,$A160,Данные!$C$2:$C$1001,"2024-04*")</f>
        <v>0</v>
      </c>
      <c r="J160" s="5">
        <f>SUMIFS(Данные!$D$2:$D$1001,Данные!$B$2:$B$1001,$A160,Данные!$C$2:$C$1001,"2024-05*")</f>
        <v>162551</v>
      </c>
      <c r="K160" s="5">
        <f>SUMIFS(Данные!$D$2:$D$1001,Данные!$B$2:$B$1001,$A160,Данные!$C$2:$C$1001,"2024-06*")</f>
        <v>21858</v>
      </c>
      <c r="L160" s="5">
        <f>SUMIFS(Данные!$D$2:$D$1001,Данные!$B$2:$B$1001,$A160,Данные!$C$2:$C$1001,"2024-07*")</f>
        <v>0</v>
      </c>
      <c r="M160" s="5">
        <f>SUMIFS(Данные!$D$2:$D$1001,Данные!$B$2:$B$1001,$A160,Данные!$C$2:$C$1001,"2024-08*")</f>
        <v>91931</v>
      </c>
      <c r="N160" s="5">
        <f>SUMIFS(Данные!$D$2:$D$1001,Данные!$B$2:$B$1001,$A160,Данные!$C$2:$C$1001,"2024-09*")</f>
        <v>0</v>
      </c>
      <c r="O160" s="8" t="str">
        <f t="shared" si="14"/>
        <v>A</v>
      </c>
      <c r="P160" s="8" t="str">
        <f t="shared" si="15"/>
        <v>Z</v>
      </c>
      <c r="Q160" s="9">
        <f t="shared" si="16"/>
        <v>519821</v>
      </c>
    </row>
    <row r="161" spans="1:17" ht="14.25" customHeight="1" x14ac:dyDescent="0.25">
      <c r="A161" s="5" t="s">
        <v>191</v>
      </c>
      <c r="B161" s="5">
        <f>SUMIFS(Данные!$D$2:$D$1001,Данные!$B$2:$B$1001,$A161,Данные!$C$2:$C$1001,"2023-09*")</f>
        <v>0</v>
      </c>
      <c r="C161" s="5">
        <f>SUMIFS(Данные!$D$2:$D$1001,Данные!$B$2:$B$1001,$A161,Данные!$C$2:$C$1001,"2023-10*")</f>
        <v>0</v>
      </c>
      <c r="D161" s="5">
        <f>SUMIFS(Данные!$D$2:$D$1001,Данные!$B$2:$B$1001,$A161,Данные!$C$2:$C$1001,"2023-11*")</f>
        <v>82443</v>
      </c>
      <c r="E161" s="5">
        <f>SUMIFS(Данные!$D$2:$D$1001,Данные!$B$2:$B$1001,$A161,Данные!$C$2:$C$1001,"2023-12*")</f>
        <v>0</v>
      </c>
      <c r="F161" s="5">
        <f>SUMIFS(Данные!$D$2:$D$1001,Данные!$B$2:$B$1001,$A161,Данные!$C$2:$C$1001,"2024-01*")</f>
        <v>62124</v>
      </c>
      <c r="G161" s="5">
        <f>SUMIFS(Данные!$D$2:$D$1001,Данные!$B$2:$B$1001,$A161,Данные!$C$2:$C$1001,"2024-02*")</f>
        <v>0</v>
      </c>
      <c r="H161" s="5">
        <f>SUMIFS(Данные!$D$2:$D$1001,Данные!$B$2:$B$1001,$A161,Данные!$C$2:$C$1001,"2024-03*")</f>
        <v>49138</v>
      </c>
      <c r="I161" s="5">
        <f>SUMIFS(Данные!$D$2:$D$1001,Данные!$B$2:$B$1001,$A161,Данные!$C$2:$C$1001,"2024-04*")</f>
        <v>62469</v>
      </c>
      <c r="J161" s="5">
        <f>SUMIFS(Данные!$D$2:$D$1001,Данные!$B$2:$B$1001,$A161,Данные!$C$2:$C$1001,"2024-05*")</f>
        <v>98046</v>
      </c>
      <c r="K161" s="5">
        <f>SUMIFS(Данные!$D$2:$D$1001,Данные!$B$2:$B$1001,$A161,Данные!$C$2:$C$1001,"2024-06*")</f>
        <v>0</v>
      </c>
      <c r="L161" s="5">
        <f>SUMIFS(Данные!$D$2:$D$1001,Данные!$B$2:$B$1001,$A161,Данные!$C$2:$C$1001,"2024-07*")</f>
        <v>52115</v>
      </c>
      <c r="M161" s="5">
        <f>SUMIFS(Данные!$D$2:$D$1001,Данные!$B$2:$B$1001,$A161,Данные!$C$2:$C$1001,"2024-08*")</f>
        <v>0</v>
      </c>
      <c r="N161" s="5">
        <f>SUMIFS(Данные!$D$2:$D$1001,Данные!$B$2:$B$1001,$A161,Данные!$C$2:$C$1001,"2024-09*")</f>
        <v>0</v>
      </c>
      <c r="O161" s="8" t="str">
        <f t="shared" si="14"/>
        <v>A</v>
      </c>
      <c r="P161" s="8" t="str">
        <f t="shared" si="15"/>
        <v>Z</v>
      </c>
      <c r="Q161" s="9">
        <f t="shared" si="16"/>
        <v>406335</v>
      </c>
    </row>
    <row r="162" spans="1:17" ht="14.25" customHeight="1" x14ac:dyDescent="0.25">
      <c r="A162" s="5" t="s">
        <v>36</v>
      </c>
      <c r="B162" s="5">
        <f>SUMIFS(Данные!$D$2:$D$1001,Данные!$B$2:$B$1001,$A162,Данные!$C$2:$C$1001,"2023-09*")</f>
        <v>87682</v>
      </c>
      <c r="C162" s="5">
        <f>SUMIFS(Данные!$D$2:$D$1001,Данные!$B$2:$B$1001,$A162,Данные!$C$2:$C$1001,"2023-10*")</f>
        <v>0</v>
      </c>
      <c r="D162" s="5">
        <f>SUMIFS(Данные!$D$2:$D$1001,Данные!$B$2:$B$1001,$A162,Данные!$C$2:$C$1001,"2023-11*")</f>
        <v>61878</v>
      </c>
      <c r="E162" s="5">
        <f>SUMIFS(Данные!$D$2:$D$1001,Данные!$B$2:$B$1001,$A162,Данные!$C$2:$C$1001,"2023-12*")</f>
        <v>0</v>
      </c>
      <c r="F162" s="5">
        <f>SUMIFS(Данные!$D$2:$D$1001,Данные!$B$2:$B$1001,$A162,Данные!$C$2:$C$1001,"2024-01*")</f>
        <v>0</v>
      </c>
      <c r="G162" s="5">
        <f>SUMIFS(Данные!$D$2:$D$1001,Данные!$B$2:$B$1001,$A162,Данные!$C$2:$C$1001,"2024-02*")</f>
        <v>0</v>
      </c>
      <c r="H162" s="5">
        <f>SUMIFS(Данные!$D$2:$D$1001,Данные!$B$2:$B$1001,$A162,Данные!$C$2:$C$1001,"2024-03*")</f>
        <v>140151</v>
      </c>
      <c r="I162" s="5">
        <f>SUMIFS(Данные!$D$2:$D$1001,Данные!$B$2:$B$1001,$A162,Данные!$C$2:$C$1001,"2024-04*")</f>
        <v>0</v>
      </c>
      <c r="J162" s="5">
        <f>SUMIFS(Данные!$D$2:$D$1001,Данные!$B$2:$B$1001,$A162,Данные!$C$2:$C$1001,"2024-05*")</f>
        <v>19268</v>
      </c>
      <c r="K162" s="5">
        <f>SUMIFS(Данные!$D$2:$D$1001,Данные!$B$2:$B$1001,$A162,Данные!$C$2:$C$1001,"2024-06*")</f>
        <v>63085</v>
      </c>
      <c r="L162" s="5">
        <f>SUMIFS(Данные!$D$2:$D$1001,Данные!$B$2:$B$1001,$A162,Данные!$C$2:$C$1001,"2024-07*")</f>
        <v>0</v>
      </c>
      <c r="M162" s="5">
        <f>SUMIFS(Данные!$D$2:$D$1001,Данные!$B$2:$B$1001,$A162,Данные!$C$2:$C$1001,"2024-08*")</f>
        <v>60178</v>
      </c>
      <c r="N162" s="5">
        <f>SUMIFS(Данные!$D$2:$D$1001,Данные!$B$2:$B$1001,$A162,Данные!$C$2:$C$1001,"2024-09*")</f>
        <v>0</v>
      </c>
      <c r="O162" s="8" t="str">
        <f t="shared" ref="O162:O198" si="17">IF(SUMPRODUCT(($Q$2:$Q$198&gt;=Q162)*$Q$2:$Q$198)/SUM($Q$2:$Q$198)&lt;=80%,"A",IF(SUMPRODUCT(($Q$2:$Q$198&gt;=Q162)*$Q$2:$Q$198)/SUM($Q$2:$Q$198)&lt;=95%,"B","C"))</f>
        <v>A</v>
      </c>
      <c r="P162" s="8" t="str">
        <f t="shared" ref="P162:P198" si="18">IFERROR(IF(SQRT(SUMPRODUCT((B162:N162-AVERAGE(B162:N162))^2)/(COUNT(B162:N162)-1))/AVERAGE(B162:N162)&lt;=10%,"X",IF(SQRT(SUMPRODUCT((B162:N162-AVERAGE(B162:N162))^2)/(COUNT(B162:N162)-1))/AVERAGE(B162:N162)&lt;=25%,"Y","Z")),"Z")</f>
        <v>Z</v>
      </c>
      <c r="Q162" s="9">
        <f t="shared" ref="Q162:Q198" si="19">SUM(B162:N162)</f>
        <v>432242</v>
      </c>
    </row>
    <row r="163" spans="1:17" ht="14.25" customHeight="1" x14ac:dyDescent="0.25">
      <c r="A163" s="5" t="s">
        <v>24</v>
      </c>
      <c r="B163" s="5">
        <f>SUMIFS(Данные!$D$2:$D$1001,Данные!$B$2:$B$1001,$A163,Данные!$C$2:$C$1001,"2023-09*")</f>
        <v>62927</v>
      </c>
      <c r="C163" s="5">
        <f>SUMIFS(Данные!$D$2:$D$1001,Данные!$B$2:$B$1001,$A163,Данные!$C$2:$C$1001,"2023-10*")</f>
        <v>93071</v>
      </c>
      <c r="D163" s="5">
        <f>SUMIFS(Данные!$D$2:$D$1001,Данные!$B$2:$B$1001,$A163,Данные!$C$2:$C$1001,"2023-11*")</f>
        <v>90696</v>
      </c>
      <c r="E163" s="5">
        <f>SUMIFS(Данные!$D$2:$D$1001,Данные!$B$2:$B$1001,$A163,Данные!$C$2:$C$1001,"2023-12*")</f>
        <v>0</v>
      </c>
      <c r="F163" s="5">
        <f>SUMIFS(Данные!$D$2:$D$1001,Данные!$B$2:$B$1001,$A163,Данные!$C$2:$C$1001,"2024-01*")</f>
        <v>0</v>
      </c>
      <c r="G163" s="5">
        <f>SUMIFS(Данные!$D$2:$D$1001,Данные!$B$2:$B$1001,$A163,Данные!$C$2:$C$1001,"2024-02*")</f>
        <v>0</v>
      </c>
      <c r="H163" s="5">
        <f>SUMIFS(Данные!$D$2:$D$1001,Данные!$B$2:$B$1001,$A163,Данные!$C$2:$C$1001,"2024-03*")</f>
        <v>0</v>
      </c>
      <c r="I163" s="5">
        <f>SUMIFS(Данные!$D$2:$D$1001,Данные!$B$2:$B$1001,$A163,Данные!$C$2:$C$1001,"2024-04*")</f>
        <v>0</v>
      </c>
      <c r="J163" s="5">
        <f>SUMIFS(Данные!$D$2:$D$1001,Данные!$B$2:$B$1001,$A163,Данные!$C$2:$C$1001,"2024-05*")</f>
        <v>0</v>
      </c>
      <c r="K163" s="5">
        <f>SUMIFS(Данные!$D$2:$D$1001,Данные!$B$2:$B$1001,$A163,Данные!$C$2:$C$1001,"2024-06*")</f>
        <v>0</v>
      </c>
      <c r="L163" s="5">
        <f>SUMIFS(Данные!$D$2:$D$1001,Данные!$B$2:$B$1001,$A163,Данные!$C$2:$C$1001,"2024-07*")</f>
        <v>0</v>
      </c>
      <c r="M163" s="5">
        <f>SUMIFS(Данные!$D$2:$D$1001,Данные!$B$2:$B$1001,$A163,Данные!$C$2:$C$1001,"2024-08*")</f>
        <v>0</v>
      </c>
      <c r="N163" s="5">
        <f>SUMIFS(Данные!$D$2:$D$1001,Данные!$B$2:$B$1001,$A163,Данные!$C$2:$C$1001,"2024-09*")</f>
        <v>0</v>
      </c>
      <c r="O163" s="8" t="str">
        <f t="shared" si="17"/>
        <v>A</v>
      </c>
      <c r="P163" s="8" t="str">
        <f t="shared" si="18"/>
        <v>Z</v>
      </c>
      <c r="Q163" s="9">
        <f t="shared" si="19"/>
        <v>246694</v>
      </c>
    </row>
    <row r="164" spans="1:17" ht="14.25" customHeight="1" x14ac:dyDescent="0.25">
      <c r="A164" s="5" t="s">
        <v>197</v>
      </c>
      <c r="B164" s="5">
        <f>SUMIFS(Данные!$D$2:$D$1001,Данные!$B$2:$B$1001,$A164,Данные!$C$2:$C$1001,"2023-09*")</f>
        <v>0</v>
      </c>
      <c r="C164" s="5">
        <f>SUMIFS(Данные!$D$2:$D$1001,Данные!$B$2:$B$1001,$A164,Данные!$C$2:$C$1001,"2023-10*")</f>
        <v>0</v>
      </c>
      <c r="D164" s="5">
        <f>SUMIFS(Данные!$D$2:$D$1001,Данные!$B$2:$B$1001,$A164,Данные!$C$2:$C$1001,"2023-11*")</f>
        <v>55679</v>
      </c>
      <c r="E164" s="5">
        <f>SUMIFS(Данные!$D$2:$D$1001,Данные!$B$2:$B$1001,$A164,Данные!$C$2:$C$1001,"2023-12*")</f>
        <v>0</v>
      </c>
      <c r="F164" s="5">
        <f>SUMIFS(Данные!$D$2:$D$1001,Данные!$B$2:$B$1001,$A164,Данные!$C$2:$C$1001,"2024-01*")</f>
        <v>0</v>
      </c>
      <c r="G164" s="5">
        <f>SUMIFS(Данные!$D$2:$D$1001,Данные!$B$2:$B$1001,$A164,Данные!$C$2:$C$1001,"2024-02*")</f>
        <v>0</v>
      </c>
      <c r="H164" s="5">
        <f>SUMIFS(Данные!$D$2:$D$1001,Данные!$B$2:$B$1001,$A164,Данные!$C$2:$C$1001,"2024-03*")</f>
        <v>40245</v>
      </c>
      <c r="I164" s="5">
        <f>SUMIFS(Данные!$D$2:$D$1001,Данные!$B$2:$B$1001,$A164,Данные!$C$2:$C$1001,"2024-04*")</f>
        <v>74745</v>
      </c>
      <c r="J164" s="5">
        <f>SUMIFS(Данные!$D$2:$D$1001,Данные!$B$2:$B$1001,$A164,Данные!$C$2:$C$1001,"2024-05*")</f>
        <v>0</v>
      </c>
      <c r="K164" s="5">
        <f>SUMIFS(Данные!$D$2:$D$1001,Данные!$B$2:$B$1001,$A164,Данные!$C$2:$C$1001,"2024-06*")</f>
        <v>0</v>
      </c>
      <c r="L164" s="5">
        <f>SUMIFS(Данные!$D$2:$D$1001,Данные!$B$2:$B$1001,$A164,Данные!$C$2:$C$1001,"2024-07*")</f>
        <v>0</v>
      </c>
      <c r="M164" s="5">
        <f>SUMIFS(Данные!$D$2:$D$1001,Данные!$B$2:$B$1001,$A164,Данные!$C$2:$C$1001,"2024-08*")</f>
        <v>0</v>
      </c>
      <c r="N164" s="5">
        <f>SUMIFS(Данные!$D$2:$D$1001,Данные!$B$2:$B$1001,$A164,Данные!$C$2:$C$1001,"2024-09*")</f>
        <v>0</v>
      </c>
      <c r="O164" s="8" t="str">
        <f t="shared" si="17"/>
        <v>B</v>
      </c>
      <c r="P164" s="8" t="str">
        <f t="shared" si="18"/>
        <v>Z</v>
      </c>
      <c r="Q164" s="9">
        <f t="shared" si="19"/>
        <v>170669</v>
      </c>
    </row>
    <row r="165" spans="1:17" ht="14.25" customHeight="1" x14ac:dyDescent="0.25">
      <c r="A165" s="5" t="s">
        <v>256</v>
      </c>
      <c r="B165" s="5">
        <f>SUMIFS(Данные!$D$2:$D$1001,Данные!$B$2:$B$1001,$A165,Данные!$C$2:$C$1001,"2023-09*")</f>
        <v>0</v>
      </c>
      <c r="C165" s="5">
        <f>SUMIFS(Данные!$D$2:$D$1001,Данные!$B$2:$B$1001,$A165,Данные!$C$2:$C$1001,"2023-10*")</f>
        <v>0</v>
      </c>
      <c r="D165" s="5">
        <f>SUMIFS(Данные!$D$2:$D$1001,Данные!$B$2:$B$1001,$A165,Данные!$C$2:$C$1001,"2023-11*")</f>
        <v>0</v>
      </c>
      <c r="E165" s="5">
        <f>SUMIFS(Данные!$D$2:$D$1001,Данные!$B$2:$B$1001,$A165,Данные!$C$2:$C$1001,"2023-12*")</f>
        <v>23051</v>
      </c>
      <c r="F165" s="5">
        <f>SUMIFS(Данные!$D$2:$D$1001,Данные!$B$2:$B$1001,$A165,Данные!$C$2:$C$1001,"2024-01*")</f>
        <v>0</v>
      </c>
      <c r="G165" s="5">
        <f>SUMIFS(Данные!$D$2:$D$1001,Данные!$B$2:$B$1001,$A165,Данные!$C$2:$C$1001,"2024-02*")</f>
        <v>0</v>
      </c>
      <c r="H165" s="5">
        <f>SUMIFS(Данные!$D$2:$D$1001,Данные!$B$2:$B$1001,$A165,Данные!$C$2:$C$1001,"2024-03*")</f>
        <v>65159</v>
      </c>
      <c r="I165" s="5">
        <f>SUMIFS(Данные!$D$2:$D$1001,Данные!$B$2:$B$1001,$A165,Данные!$C$2:$C$1001,"2024-04*")</f>
        <v>81771</v>
      </c>
      <c r="J165" s="5">
        <f>SUMIFS(Данные!$D$2:$D$1001,Данные!$B$2:$B$1001,$A165,Данные!$C$2:$C$1001,"2024-05*")</f>
        <v>51830</v>
      </c>
      <c r="K165" s="5">
        <f>SUMIFS(Данные!$D$2:$D$1001,Данные!$B$2:$B$1001,$A165,Данные!$C$2:$C$1001,"2024-06*")</f>
        <v>0</v>
      </c>
      <c r="L165" s="5">
        <f>SUMIFS(Данные!$D$2:$D$1001,Данные!$B$2:$B$1001,$A165,Данные!$C$2:$C$1001,"2024-07*")</f>
        <v>0</v>
      </c>
      <c r="M165" s="5">
        <f>SUMIFS(Данные!$D$2:$D$1001,Данные!$B$2:$B$1001,$A165,Данные!$C$2:$C$1001,"2024-08*")</f>
        <v>0</v>
      </c>
      <c r="N165" s="5">
        <f>SUMIFS(Данные!$D$2:$D$1001,Данные!$B$2:$B$1001,$A165,Данные!$C$2:$C$1001,"2024-09*")</f>
        <v>0</v>
      </c>
      <c r="O165" s="8" t="str">
        <f t="shared" si="17"/>
        <v>B</v>
      </c>
      <c r="P165" s="8" t="str">
        <f t="shared" si="18"/>
        <v>Z</v>
      </c>
      <c r="Q165" s="9">
        <f t="shared" si="19"/>
        <v>221811</v>
      </c>
    </row>
    <row r="166" spans="1:17" ht="14.25" customHeight="1" x14ac:dyDescent="0.25">
      <c r="A166" s="5" t="s">
        <v>451</v>
      </c>
      <c r="B166" s="5">
        <f>SUMIFS(Данные!$D$2:$D$1001,Данные!$B$2:$B$1001,$A166,Данные!$C$2:$C$1001,"2023-09*")</f>
        <v>0</v>
      </c>
      <c r="C166" s="5">
        <f>SUMIFS(Данные!$D$2:$D$1001,Данные!$B$2:$B$1001,$A166,Данные!$C$2:$C$1001,"2023-10*")</f>
        <v>0</v>
      </c>
      <c r="D166" s="5">
        <f>SUMIFS(Данные!$D$2:$D$1001,Данные!$B$2:$B$1001,$A166,Данные!$C$2:$C$1001,"2023-11*")</f>
        <v>0</v>
      </c>
      <c r="E166" s="5">
        <f>SUMIFS(Данные!$D$2:$D$1001,Данные!$B$2:$B$1001,$A166,Данные!$C$2:$C$1001,"2023-12*")</f>
        <v>0</v>
      </c>
      <c r="F166" s="5">
        <f>SUMIFS(Данные!$D$2:$D$1001,Данные!$B$2:$B$1001,$A166,Данные!$C$2:$C$1001,"2024-01*")</f>
        <v>0</v>
      </c>
      <c r="G166" s="5">
        <f>SUMIFS(Данные!$D$2:$D$1001,Данные!$B$2:$B$1001,$A166,Данные!$C$2:$C$1001,"2024-02*")</f>
        <v>0</v>
      </c>
      <c r="H166" s="5">
        <f>SUMIFS(Данные!$D$2:$D$1001,Данные!$B$2:$B$1001,$A166,Данные!$C$2:$C$1001,"2024-03*")</f>
        <v>0</v>
      </c>
      <c r="I166" s="5">
        <f>SUMIFS(Данные!$D$2:$D$1001,Данные!$B$2:$B$1001,$A166,Данные!$C$2:$C$1001,"2024-04*")</f>
        <v>0</v>
      </c>
      <c r="J166" s="5">
        <f>SUMIFS(Данные!$D$2:$D$1001,Данные!$B$2:$B$1001,$A166,Данные!$C$2:$C$1001,"2024-05*")</f>
        <v>0</v>
      </c>
      <c r="K166" s="5">
        <f>SUMIFS(Данные!$D$2:$D$1001,Данные!$B$2:$B$1001,$A166,Данные!$C$2:$C$1001,"2024-06*")</f>
        <v>0</v>
      </c>
      <c r="L166" s="5">
        <f>SUMIFS(Данные!$D$2:$D$1001,Данные!$B$2:$B$1001,$A166,Данные!$C$2:$C$1001,"2024-07*")</f>
        <v>0</v>
      </c>
      <c r="M166" s="5">
        <f>SUMIFS(Данные!$D$2:$D$1001,Данные!$B$2:$B$1001,$A166,Данные!$C$2:$C$1001,"2024-08*")</f>
        <v>18759</v>
      </c>
      <c r="N166" s="5">
        <f>SUMIFS(Данные!$D$2:$D$1001,Данные!$B$2:$B$1001,$A166,Данные!$C$2:$C$1001,"2024-09*")</f>
        <v>0</v>
      </c>
      <c r="O166" s="8" t="str">
        <f t="shared" si="17"/>
        <v>C</v>
      </c>
      <c r="P166" s="8" t="str">
        <f t="shared" si="18"/>
        <v>Z</v>
      </c>
      <c r="Q166" s="9">
        <f t="shared" si="19"/>
        <v>18759</v>
      </c>
    </row>
    <row r="167" spans="1:17" ht="14.25" customHeight="1" x14ac:dyDescent="0.25">
      <c r="A167" s="5" t="s">
        <v>69</v>
      </c>
      <c r="B167" s="5">
        <f>SUMIFS(Данные!$D$2:$D$1001,Данные!$B$2:$B$1001,$A167,Данные!$C$2:$C$1001,"2023-09*")</f>
        <v>137425</v>
      </c>
      <c r="C167" s="5">
        <f>SUMIFS(Данные!$D$2:$D$1001,Данные!$B$2:$B$1001,$A167,Данные!$C$2:$C$1001,"2023-10*")</f>
        <v>89123</v>
      </c>
      <c r="D167" s="5">
        <f>SUMIFS(Данные!$D$2:$D$1001,Данные!$B$2:$B$1001,$A167,Данные!$C$2:$C$1001,"2023-11*")</f>
        <v>0</v>
      </c>
      <c r="E167" s="5">
        <f>SUMIFS(Данные!$D$2:$D$1001,Данные!$B$2:$B$1001,$A167,Данные!$C$2:$C$1001,"2023-12*")</f>
        <v>0</v>
      </c>
      <c r="F167" s="5">
        <f>SUMIFS(Данные!$D$2:$D$1001,Данные!$B$2:$B$1001,$A167,Данные!$C$2:$C$1001,"2024-01*")</f>
        <v>30176</v>
      </c>
      <c r="G167" s="5">
        <f>SUMIFS(Данные!$D$2:$D$1001,Данные!$B$2:$B$1001,$A167,Данные!$C$2:$C$1001,"2024-02*")</f>
        <v>0</v>
      </c>
      <c r="H167" s="5">
        <f>SUMIFS(Данные!$D$2:$D$1001,Данные!$B$2:$B$1001,$A167,Данные!$C$2:$C$1001,"2024-03*")</f>
        <v>0</v>
      </c>
      <c r="I167" s="5">
        <f>SUMIFS(Данные!$D$2:$D$1001,Данные!$B$2:$B$1001,$A167,Данные!$C$2:$C$1001,"2024-04*")</f>
        <v>0</v>
      </c>
      <c r="J167" s="5">
        <f>SUMIFS(Данные!$D$2:$D$1001,Данные!$B$2:$B$1001,$A167,Данные!$C$2:$C$1001,"2024-05*")</f>
        <v>68973</v>
      </c>
      <c r="K167" s="5">
        <f>SUMIFS(Данные!$D$2:$D$1001,Данные!$B$2:$B$1001,$A167,Данные!$C$2:$C$1001,"2024-06*")</f>
        <v>0</v>
      </c>
      <c r="L167" s="5">
        <f>SUMIFS(Данные!$D$2:$D$1001,Данные!$B$2:$B$1001,$A167,Данные!$C$2:$C$1001,"2024-07*")</f>
        <v>0</v>
      </c>
      <c r="M167" s="5">
        <f>SUMIFS(Данные!$D$2:$D$1001,Данные!$B$2:$B$1001,$A167,Данные!$C$2:$C$1001,"2024-08*")</f>
        <v>59579</v>
      </c>
      <c r="N167" s="5">
        <f>SUMIFS(Данные!$D$2:$D$1001,Данные!$B$2:$B$1001,$A167,Данные!$C$2:$C$1001,"2024-09*")</f>
        <v>0</v>
      </c>
      <c r="O167" s="8" t="str">
        <f t="shared" si="17"/>
        <v>A</v>
      </c>
      <c r="P167" s="8" t="str">
        <f t="shared" si="18"/>
        <v>Z</v>
      </c>
      <c r="Q167" s="9">
        <f t="shared" si="19"/>
        <v>385276</v>
      </c>
    </row>
    <row r="168" spans="1:17" ht="14.25" customHeight="1" x14ac:dyDescent="0.25">
      <c r="A168" s="5" t="s">
        <v>70</v>
      </c>
      <c r="B168" s="5">
        <f>SUMIFS(Данные!$D$2:$D$1001,Данные!$B$2:$B$1001,$A168,Данные!$C$2:$C$1001,"2023-09*")</f>
        <v>70111</v>
      </c>
      <c r="C168" s="5">
        <f>SUMIFS(Данные!$D$2:$D$1001,Данные!$B$2:$B$1001,$A168,Данные!$C$2:$C$1001,"2023-10*")</f>
        <v>0</v>
      </c>
      <c r="D168" s="5">
        <f>SUMIFS(Данные!$D$2:$D$1001,Данные!$B$2:$B$1001,$A168,Данные!$C$2:$C$1001,"2023-11*")</f>
        <v>81754</v>
      </c>
      <c r="E168" s="5">
        <f>SUMIFS(Данные!$D$2:$D$1001,Данные!$B$2:$B$1001,$A168,Данные!$C$2:$C$1001,"2023-12*")</f>
        <v>0</v>
      </c>
      <c r="F168" s="5">
        <f>SUMIFS(Данные!$D$2:$D$1001,Данные!$B$2:$B$1001,$A168,Данные!$C$2:$C$1001,"2024-01*")</f>
        <v>32598</v>
      </c>
      <c r="G168" s="5">
        <f>SUMIFS(Данные!$D$2:$D$1001,Данные!$B$2:$B$1001,$A168,Данные!$C$2:$C$1001,"2024-02*")</f>
        <v>0</v>
      </c>
      <c r="H168" s="5">
        <f>SUMIFS(Данные!$D$2:$D$1001,Данные!$B$2:$B$1001,$A168,Данные!$C$2:$C$1001,"2024-03*")</f>
        <v>0</v>
      </c>
      <c r="I168" s="5">
        <f>SUMIFS(Данные!$D$2:$D$1001,Данные!$B$2:$B$1001,$A168,Данные!$C$2:$C$1001,"2024-04*")</f>
        <v>0</v>
      </c>
      <c r="J168" s="5">
        <f>SUMIFS(Данные!$D$2:$D$1001,Данные!$B$2:$B$1001,$A168,Данные!$C$2:$C$1001,"2024-05*")</f>
        <v>83301</v>
      </c>
      <c r="K168" s="5">
        <f>SUMIFS(Данные!$D$2:$D$1001,Данные!$B$2:$B$1001,$A168,Данные!$C$2:$C$1001,"2024-06*")</f>
        <v>0</v>
      </c>
      <c r="L168" s="5">
        <f>SUMIFS(Данные!$D$2:$D$1001,Данные!$B$2:$B$1001,$A168,Данные!$C$2:$C$1001,"2024-07*")</f>
        <v>0</v>
      </c>
      <c r="M168" s="5">
        <f>SUMIFS(Данные!$D$2:$D$1001,Данные!$B$2:$B$1001,$A168,Данные!$C$2:$C$1001,"2024-08*")</f>
        <v>69089</v>
      </c>
      <c r="N168" s="5">
        <f>SUMIFS(Данные!$D$2:$D$1001,Данные!$B$2:$B$1001,$A168,Данные!$C$2:$C$1001,"2024-09*")</f>
        <v>0</v>
      </c>
      <c r="O168" s="8" t="str">
        <f t="shared" si="17"/>
        <v>A</v>
      </c>
      <c r="P168" s="8" t="str">
        <f t="shared" si="18"/>
        <v>Z</v>
      </c>
      <c r="Q168" s="9">
        <f t="shared" si="19"/>
        <v>336853</v>
      </c>
    </row>
    <row r="169" spans="1:17" ht="14.25" customHeight="1" x14ac:dyDescent="0.25">
      <c r="A169" s="5" t="s">
        <v>198</v>
      </c>
      <c r="B169" s="5">
        <f>SUMIFS(Данные!$D$2:$D$1001,Данные!$B$2:$B$1001,$A169,Данные!$C$2:$C$1001,"2023-09*")</f>
        <v>0</v>
      </c>
      <c r="C169" s="5">
        <f>SUMIFS(Данные!$D$2:$D$1001,Данные!$B$2:$B$1001,$A169,Данные!$C$2:$C$1001,"2023-10*")</f>
        <v>0</v>
      </c>
      <c r="D169" s="5">
        <f>SUMIFS(Данные!$D$2:$D$1001,Данные!$B$2:$B$1001,$A169,Данные!$C$2:$C$1001,"2023-11*")</f>
        <v>82036</v>
      </c>
      <c r="E169" s="5">
        <f>SUMIFS(Данные!$D$2:$D$1001,Данные!$B$2:$B$1001,$A169,Данные!$C$2:$C$1001,"2023-12*")</f>
        <v>0</v>
      </c>
      <c r="F169" s="5">
        <f>SUMIFS(Данные!$D$2:$D$1001,Данные!$B$2:$B$1001,$A169,Данные!$C$2:$C$1001,"2024-01*")</f>
        <v>22817</v>
      </c>
      <c r="G169" s="5">
        <f>SUMIFS(Данные!$D$2:$D$1001,Данные!$B$2:$B$1001,$A169,Данные!$C$2:$C$1001,"2024-02*")</f>
        <v>0</v>
      </c>
      <c r="H169" s="5">
        <f>SUMIFS(Данные!$D$2:$D$1001,Данные!$B$2:$B$1001,$A169,Данные!$C$2:$C$1001,"2024-03*")</f>
        <v>94747</v>
      </c>
      <c r="I169" s="5">
        <f>SUMIFS(Данные!$D$2:$D$1001,Данные!$B$2:$B$1001,$A169,Данные!$C$2:$C$1001,"2024-04*")</f>
        <v>0</v>
      </c>
      <c r="J169" s="5">
        <f>SUMIFS(Данные!$D$2:$D$1001,Данные!$B$2:$B$1001,$A169,Данные!$C$2:$C$1001,"2024-05*")</f>
        <v>0</v>
      </c>
      <c r="K169" s="5">
        <f>SUMIFS(Данные!$D$2:$D$1001,Данные!$B$2:$B$1001,$A169,Данные!$C$2:$C$1001,"2024-06*")</f>
        <v>0</v>
      </c>
      <c r="L169" s="5">
        <f>SUMIFS(Данные!$D$2:$D$1001,Данные!$B$2:$B$1001,$A169,Данные!$C$2:$C$1001,"2024-07*")</f>
        <v>0</v>
      </c>
      <c r="M169" s="5">
        <f>SUMIFS(Данные!$D$2:$D$1001,Данные!$B$2:$B$1001,$A169,Данные!$C$2:$C$1001,"2024-08*")</f>
        <v>45171</v>
      </c>
      <c r="N169" s="5">
        <f>SUMIFS(Данные!$D$2:$D$1001,Данные!$B$2:$B$1001,$A169,Данные!$C$2:$C$1001,"2024-09*")</f>
        <v>0</v>
      </c>
      <c r="O169" s="8" t="str">
        <f t="shared" si="17"/>
        <v>A</v>
      </c>
      <c r="P169" s="8" t="str">
        <f t="shared" si="18"/>
        <v>Z</v>
      </c>
      <c r="Q169" s="9">
        <f t="shared" si="19"/>
        <v>244771</v>
      </c>
    </row>
    <row r="170" spans="1:17" ht="14.25" customHeight="1" x14ac:dyDescent="0.25">
      <c r="A170" s="5" t="s">
        <v>94</v>
      </c>
      <c r="B170" s="5">
        <f>SUMIFS(Данные!$D$2:$D$1001,Данные!$B$2:$B$1001,$A170,Данные!$C$2:$C$1001,"2023-09*")</f>
        <v>82276</v>
      </c>
      <c r="C170" s="5">
        <f>SUMIFS(Данные!$D$2:$D$1001,Данные!$B$2:$B$1001,$A170,Данные!$C$2:$C$1001,"2023-10*")</f>
        <v>0</v>
      </c>
      <c r="D170" s="5">
        <f>SUMIFS(Данные!$D$2:$D$1001,Данные!$B$2:$B$1001,$A170,Данные!$C$2:$C$1001,"2023-11*")</f>
        <v>42985</v>
      </c>
      <c r="E170" s="5">
        <f>SUMIFS(Данные!$D$2:$D$1001,Данные!$B$2:$B$1001,$A170,Данные!$C$2:$C$1001,"2023-12*")</f>
        <v>0</v>
      </c>
      <c r="F170" s="5">
        <f>SUMIFS(Данные!$D$2:$D$1001,Данные!$B$2:$B$1001,$A170,Данные!$C$2:$C$1001,"2024-01*")</f>
        <v>0</v>
      </c>
      <c r="G170" s="5">
        <f>SUMIFS(Данные!$D$2:$D$1001,Данные!$B$2:$B$1001,$A170,Данные!$C$2:$C$1001,"2024-02*")</f>
        <v>0</v>
      </c>
      <c r="H170" s="5">
        <f>SUMIFS(Данные!$D$2:$D$1001,Данные!$B$2:$B$1001,$A170,Данные!$C$2:$C$1001,"2024-03*")</f>
        <v>0</v>
      </c>
      <c r="I170" s="5">
        <f>SUMIFS(Данные!$D$2:$D$1001,Данные!$B$2:$B$1001,$A170,Данные!$C$2:$C$1001,"2024-04*")</f>
        <v>0</v>
      </c>
      <c r="J170" s="5">
        <f>SUMIFS(Данные!$D$2:$D$1001,Данные!$B$2:$B$1001,$A170,Данные!$C$2:$C$1001,"2024-05*")</f>
        <v>80781</v>
      </c>
      <c r="K170" s="5">
        <f>SUMIFS(Данные!$D$2:$D$1001,Данные!$B$2:$B$1001,$A170,Данные!$C$2:$C$1001,"2024-06*")</f>
        <v>0</v>
      </c>
      <c r="L170" s="5">
        <f>SUMIFS(Данные!$D$2:$D$1001,Данные!$B$2:$B$1001,$A170,Данные!$C$2:$C$1001,"2024-07*")</f>
        <v>15672</v>
      </c>
      <c r="M170" s="5">
        <f>SUMIFS(Данные!$D$2:$D$1001,Данные!$B$2:$B$1001,$A170,Данные!$C$2:$C$1001,"2024-08*")</f>
        <v>0</v>
      </c>
      <c r="N170" s="5">
        <f>SUMIFS(Данные!$D$2:$D$1001,Данные!$B$2:$B$1001,$A170,Данные!$C$2:$C$1001,"2024-09*")</f>
        <v>0</v>
      </c>
      <c r="O170" s="8" t="str">
        <f t="shared" si="17"/>
        <v>B</v>
      </c>
      <c r="P170" s="8" t="str">
        <f t="shared" si="18"/>
        <v>Z</v>
      </c>
      <c r="Q170" s="9">
        <f t="shared" si="19"/>
        <v>221714</v>
      </c>
    </row>
    <row r="171" spans="1:17" ht="14.25" customHeight="1" x14ac:dyDescent="0.25">
      <c r="A171" s="5" t="s">
        <v>59</v>
      </c>
      <c r="B171" s="5">
        <f>SUMIFS(Данные!$D$2:$D$1001,Данные!$B$2:$B$1001,$A171,Данные!$C$2:$C$1001,"2023-09*")</f>
        <v>110450</v>
      </c>
      <c r="C171" s="5">
        <f>SUMIFS(Данные!$D$2:$D$1001,Данные!$B$2:$B$1001,$A171,Данные!$C$2:$C$1001,"2023-10*")</f>
        <v>0</v>
      </c>
      <c r="D171" s="5">
        <f>SUMIFS(Данные!$D$2:$D$1001,Данные!$B$2:$B$1001,$A171,Данные!$C$2:$C$1001,"2023-11*")</f>
        <v>0</v>
      </c>
      <c r="E171" s="5">
        <f>SUMIFS(Данные!$D$2:$D$1001,Данные!$B$2:$B$1001,$A171,Данные!$C$2:$C$1001,"2023-12*")</f>
        <v>0</v>
      </c>
      <c r="F171" s="5">
        <f>SUMIFS(Данные!$D$2:$D$1001,Данные!$B$2:$B$1001,$A171,Данные!$C$2:$C$1001,"2024-01*")</f>
        <v>176922</v>
      </c>
      <c r="G171" s="5">
        <f>SUMIFS(Данные!$D$2:$D$1001,Данные!$B$2:$B$1001,$A171,Данные!$C$2:$C$1001,"2024-02*")</f>
        <v>0</v>
      </c>
      <c r="H171" s="5">
        <f>SUMIFS(Данные!$D$2:$D$1001,Данные!$B$2:$B$1001,$A171,Данные!$C$2:$C$1001,"2024-03*")</f>
        <v>0</v>
      </c>
      <c r="I171" s="5">
        <f>SUMIFS(Данные!$D$2:$D$1001,Данные!$B$2:$B$1001,$A171,Данные!$C$2:$C$1001,"2024-04*")</f>
        <v>0</v>
      </c>
      <c r="J171" s="5">
        <f>SUMIFS(Данные!$D$2:$D$1001,Данные!$B$2:$B$1001,$A171,Данные!$C$2:$C$1001,"2024-05*")</f>
        <v>0</v>
      </c>
      <c r="K171" s="5">
        <f>SUMIFS(Данные!$D$2:$D$1001,Данные!$B$2:$B$1001,$A171,Данные!$C$2:$C$1001,"2024-06*")</f>
        <v>0</v>
      </c>
      <c r="L171" s="5">
        <f>SUMIFS(Данные!$D$2:$D$1001,Данные!$B$2:$B$1001,$A171,Данные!$C$2:$C$1001,"2024-07*")</f>
        <v>0</v>
      </c>
      <c r="M171" s="5">
        <f>SUMIFS(Данные!$D$2:$D$1001,Данные!$B$2:$B$1001,$A171,Данные!$C$2:$C$1001,"2024-08*")</f>
        <v>0</v>
      </c>
      <c r="N171" s="5">
        <f>SUMIFS(Данные!$D$2:$D$1001,Данные!$B$2:$B$1001,$A171,Данные!$C$2:$C$1001,"2024-09*")</f>
        <v>0</v>
      </c>
      <c r="O171" s="8" t="str">
        <f t="shared" si="17"/>
        <v>A</v>
      </c>
      <c r="P171" s="8" t="str">
        <f t="shared" si="18"/>
        <v>Z</v>
      </c>
      <c r="Q171" s="9">
        <f t="shared" si="19"/>
        <v>287372</v>
      </c>
    </row>
    <row r="172" spans="1:17" ht="14.25" customHeight="1" x14ac:dyDescent="0.25">
      <c r="A172" s="5" t="s">
        <v>186</v>
      </c>
      <c r="B172" s="5">
        <f>SUMIFS(Данные!$D$2:$D$1001,Данные!$B$2:$B$1001,$A172,Данные!$C$2:$C$1001,"2023-09*")</f>
        <v>0</v>
      </c>
      <c r="C172" s="5">
        <f>SUMIFS(Данные!$D$2:$D$1001,Данные!$B$2:$B$1001,$A172,Данные!$C$2:$C$1001,"2023-10*")</f>
        <v>0</v>
      </c>
      <c r="D172" s="5">
        <f>SUMIFS(Данные!$D$2:$D$1001,Данные!$B$2:$B$1001,$A172,Данные!$C$2:$C$1001,"2023-11*")</f>
        <v>102289</v>
      </c>
      <c r="E172" s="5">
        <f>SUMIFS(Данные!$D$2:$D$1001,Данные!$B$2:$B$1001,$A172,Данные!$C$2:$C$1001,"2023-12*")</f>
        <v>0</v>
      </c>
      <c r="F172" s="5">
        <f>SUMIFS(Данные!$D$2:$D$1001,Данные!$B$2:$B$1001,$A172,Данные!$C$2:$C$1001,"2024-01*")</f>
        <v>0</v>
      </c>
      <c r="G172" s="5">
        <f>SUMIFS(Данные!$D$2:$D$1001,Данные!$B$2:$B$1001,$A172,Данные!$C$2:$C$1001,"2024-02*")</f>
        <v>0</v>
      </c>
      <c r="H172" s="5">
        <f>SUMIFS(Данные!$D$2:$D$1001,Данные!$B$2:$B$1001,$A172,Данные!$C$2:$C$1001,"2024-03*")</f>
        <v>0</v>
      </c>
      <c r="I172" s="5">
        <f>SUMIFS(Данные!$D$2:$D$1001,Данные!$B$2:$B$1001,$A172,Данные!$C$2:$C$1001,"2024-04*")</f>
        <v>118445</v>
      </c>
      <c r="J172" s="5">
        <f>SUMIFS(Данные!$D$2:$D$1001,Данные!$B$2:$B$1001,$A172,Данные!$C$2:$C$1001,"2024-05*")</f>
        <v>0</v>
      </c>
      <c r="K172" s="5">
        <f>SUMIFS(Данные!$D$2:$D$1001,Данные!$B$2:$B$1001,$A172,Данные!$C$2:$C$1001,"2024-06*")</f>
        <v>0</v>
      </c>
      <c r="L172" s="5">
        <f>SUMIFS(Данные!$D$2:$D$1001,Данные!$B$2:$B$1001,$A172,Данные!$C$2:$C$1001,"2024-07*")</f>
        <v>0</v>
      </c>
      <c r="M172" s="5">
        <f>SUMIFS(Данные!$D$2:$D$1001,Данные!$B$2:$B$1001,$A172,Данные!$C$2:$C$1001,"2024-08*")</f>
        <v>0</v>
      </c>
      <c r="N172" s="5">
        <f>SUMIFS(Данные!$D$2:$D$1001,Данные!$B$2:$B$1001,$A172,Данные!$C$2:$C$1001,"2024-09*")</f>
        <v>0</v>
      </c>
      <c r="O172" s="8" t="str">
        <f t="shared" si="17"/>
        <v>B</v>
      </c>
      <c r="P172" s="8" t="str">
        <f t="shared" si="18"/>
        <v>Z</v>
      </c>
      <c r="Q172" s="9">
        <f t="shared" si="19"/>
        <v>220734</v>
      </c>
    </row>
    <row r="173" spans="1:17" ht="14.25" customHeight="1" x14ac:dyDescent="0.25">
      <c r="A173" s="5" t="s">
        <v>157</v>
      </c>
      <c r="B173" s="5">
        <f>SUMIFS(Данные!$D$2:$D$1001,Данные!$B$2:$B$1001,$A173,Данные!$C$2:$C$1001,"2023-09*")</f>
        <v>0</v>
      </c>
      <c r="C173" s="5">
        <f>SUMIFS(Данные!$D$2:$D$1001,Данные!$B$2:$B$1001,$A173,Данные!$C$2:$C$1001,"2023-10*")</f>
        <v>47549</v>
      </c>
      <c r="D173" s="5">
        <f>SUMIFS(Данные!$D$2:$D$1001,Данные!$B$2:$B$1001,$A173,Данные!$C$2:$C$1001,"2023-11*")</f>
        <v>0</v>
      </c>
      <c r="E173" s="5">
        <f>SUMIFS(Данные!$D$2:$D$1001,Данные!$B$2:$B$1001,$A173,Данные!$C$2:$C$1001,"2023-12*")</f>
        <v>0</v>
      </c>
      <c r="F173" s="5">
        <f>SUMIFS(Данные!$D$2:$D$1001,Данные!$B$2:$B$1001,$A173,Данные!$C$2:$C$1001,"2024-01*")</f>
        <v>0</v>
      </c>
      <c r="G173" s="5">
        <f>SUMIFS(Данные!$D$2:$D$1001,Данные!$B$2:$B$1001,$A173,Данные!$C$2:$C$1001,"2024-02*")</f>
        <v>0</v>
      </c>
      <c r="H173" s="5">
        <f>SUMIFS(Данные!$D$2:$D$1001,Данные!$B$2:$B$1001,$A173,Данные!$C$2:$C$1001,"2024-03*")</f>
        <v>0</v>
      </c>
      <c r="I173" s="5">
        <f>SUMIFS(Данные!$D$2:$D$1001,Данные!$B$2:$B$1001,$A173,Данные!$C$2:$C$1001,"2024-04*")</f>
        <v>0</v>
      </c>
      <c r="J173" s="5">
        <f>SUMIFS(Данные!$D$2:$D$1001,Данные!$B$2:$B$1001,$A173,Данные!$C$2:$C$1001,"2024-05*")</f>
        <v>0</v>
      </c>
      <c r="K173" s="5">
        <f>SUMIFS(Данные!$D$2:$D$1001,Данные!$B$2:$B$1001,$A173,Данные!$C$2:$C$1001,"2024-06*")</f>
        <v>16294</v>
      </c>
      <c r="L173" s="5">
        <f>SUMIFS(Данные!$D$2:$D$1001,Данные!$B$2:$B$1001,$A173,Данные!$C$2:$C$1001,"2024-07*")</f>
        <v>47157</v>
      </c>
      <c r="M173" s="5">
        <f>SUMIFS(Данные!$D$2:$D$1001,Данные!$B$2:$B$1001,$A173,Данные!$C$2:$C$1001,"2024-08*")</f>
        <v>0</v>
      </c>
      <c r="N173" s="5">
        <f>SUMIFS(Данные!$D$2:$D$1001,Данные!$B$2:$B$1001,$A173,Данные!$C$2:$C$1001,"2024-09*")</f>
        <v>0</v>
      </c>
      <c r="O173" s="8" t="str">
        <f t="shared" si="17"/>
        <v>C</v>
      </c>
      <c r="P173" s="8" t="str">
        <f t="shared" si="18"/>
        <v>Z</v>
      </c>
      <c r="Q173" s="9">
        <f t="shared" si="19"/>
        <v>111000</v>
      </c>
    </row>
    <row r="174" spans="1:17" ht="14.25" customHeight="1" x14ac:dyDescent="0.25">
      <c r="A174" s="5" t="s">
        <v>202</v>
      </c>
      <c r="B174" s="5">
        <f>SUMIFS(Данные!$D$2:$D$1001,Данные!$B$2:$B$1001,$A174,Данные!$C$2:$C$1001,"2023-09*")</f>
        <v>0</v>
      </c>
      <c r="C174" s="5">
        <f>SUMIFS(Данные!$D$2:$D$1001,Данные!$B$2:$B$1001,$A174,Данные!$C$2:$C$1001,"2023-10*")</f>
        <v>0</v>
      </c>
      <c r="D174" s="5">
        <f>SUMIFS(Данные!$D$2:$D$1001,Данные!$B$2:$B$1001,$A174,Данные!$C$2:$C$1001,"2023-11*")</f>
        <v>55626</v>
      </c>
      <c r="E174" s="5">
        <f>SUMIFS(Данные!$D$2:$D$1001,Данные!$B$2:$B$1001,$A174,Данные!$C$2:$C$1001,"2023-12*")</f>
        <v>0</v>
      </c>
      <c r="F174" s="5">
        <f>SUMIFS(Данные!$D$2:$D$1001,Данные!$B$2:$B$1001,$A174,Данные!$C$2:$C$1001,"2024-01*")</f>
        <v>0</v>
      </c>
      <c r="G174" s="5">
        <f>SUMIFS(Данные!$D$2:$D$1001,Данные!$B$2:$B$1001,$A174,Данные!$C$2:$C$1001,"2024-02*")</f>
        <v>0</v>
      </c>
      <c r="H174" s="5">
        <f>SUMIFS(Данные!$D$2:$D$1001,Данные!$B$2:$B$1001,$A174,Данные!$C$2:$C$1001,"2024-03*")</f>
        <v>0</v>
      </c>
      <c r="I174" s="5">
        <f>SUMIFS(Данные!$D$2:$D$1001,Данные!$B$2:$B$1001,$A174,Данные!$C$2:$C$1001,"2024-04*")</f>
        <v>51014</v>
      </c>
      <c r="J174" s="5">
        <f>SUMIFS(Данные!$D$2:$D$1001,Данные!$B$2:$B$1001,$A174,Данные!$C$2:$C$1001,"2024-05*")</f>
        <v>0</v>
      </c>
      <c r="K174" s="5">
        <f>SUMIFS(Данные!$D$2:$D$1001,Данные!$B$2:$B$1001,$A174,Данные!$C$2:$C$1001,"2024-06*")</f>
        <v>81302</v>
      </c>
      <c r="L174" s="5">
        <f>SUMIFS(Данные!$D$2:$D$1001,Данные!$B$2:$B$1001,$A174,Данные!$C$2:$C$1001,"2024-07*")</f>
        <v>51826</v>
      </c>
      <c r="M174" s="5">
        <f>SUMIFS(Данные!$D$2:$D$1001,Данные!$B$2:$B$1001,$A174,Данные!$C$2:$C$1001,"2024-08*")</f>
        <v>50964</v>
      </c>
      <c r="N174" s="5">
        <f>SUMIFS(Данные!$D$2:$D$1001,Данные!$B$2:$B$1001,$A174,Данные!$C$2:$C$1001,"2024-09*")</f>
        <v>0</v>
      </c>
      <c r="O174" s="8" t="str">
        <f t="shared" si="17"/>
        <v>A</v>
      </c>
      <c r="P174" s="8" t="str">
        <f t="shared" si="18"/>
        <v>Z</v>
      </c>
      <c r="Q174" s="9">
        <f t="shared" si="19"/>
        <v>290732</v>
      </c>
    </row>
    <row r="175" spans="1:17" ht="14.25" customHeight="1" x14ac:dyDescent="0.25">
      <c r="A175" s="5" t="s">
        <v>194</v>
      </c>
      <c r="B175" s="5">
        <f>SUMIFS(Данные!$D$2:$D$1001,Данные!$B$2:$B$1001,$A175,Данные!$C$2:$C$1001,"2023-09*")</f>
        <v>0</v>
      </c>
      <c r="C175" s="5">
        <f>SUMIFS(Данные!$D$2:$D$1001,Данные!$B$2:$B$1001,$A175,Данные!$C$2:$C$1001,"2023-10*")</f>
        <v>0</v>
      </c>
      <c r="D175" s="5">
        <f>SUMIFS(Данные!$D$2:$D$1001,Данные!$B$2:$B$1001,$A175,Данные!$C$2:$C$1001,"2023-11*")</f>
        <v>94455</v>
      </c>
      <c r="E175" s="5">
        <f>SUMIFS(Данные!$D$2:$D$1001,Данные!$B$2:$B$1001,$A175,Данные!$C$2:$C$1001,"2023-12*")</f>
        <v>53852</v>
      </c>
      <c r="F175" s="5">
        <f>SUMIFS(Данные!$D$2:$D$1001,Данные!$B$2:$B$1001,$A175,Данные!$C$2:$C$1001,"2024-01*")</f>
        <v>162404</v>
      </c>
      <c r="G175" s="5">
        <f>SUMIFS(Данные!$D$2:$D$1001,Данные!$B$2:$B$1001,$A175,Данные!$C$2:$C$1001,"2024-02*")</f>
        <v>0</v>
      </c>
      <c r="H175" s="5">
        <f>SUMIFS(Данные!$D$2:$D$1001,Данные!$B$2:$B$1001,$A175,Данные!$C$2:$C$1001,"2024-03*")</f>
        <v>0</v>
      </c>
      <c r="I175" s="5">
        <f>SUMIFS(Данные!$D$2:$D$1001,Данные!$B$2:$B$1001,$A175,Данные!$C$2:$C$1001,"2024-04*")</f>
        <v>12327</v>
      </c>
      <c r="J175" s="5">
        <f>SUMIFS(Данные!$D$2:$D$1001,Данные!$B$2:$B$1001,$A175,Данные!$C$2:$C$1001,"2024-05*")</f>
        <v>94924</v>
      </c>
      <c r="K175" s="5">
        <f>SUMIFS(Данные!$D$2:$D$1001,Данные!$B$2:$B$1001,$A175,Данные!$C$2:$C$1001,"2024-06*")</f>
        <v>55800</v>
      </c>
      <c r="L175" s="5">
        <f>SUMIFS(Данные!$D$2:$D$1001,Данные!$B$2:$B$1001,$A175,Данные!$C$2:$C$1001,"2024-07*")</f>
        <v>103549</v>
      </c>
      <c r="M175" s="5">
        <f>SUMIFS(Данные!$D$2:$D$1001,Данные!$B$2:$B$1001,$A175,Данные!$C$2:$C$1001,"2024-08*")</f>
        <v>0</v>
      </c>
      <c r="N175" s="5">
        <f>SUMIFS(Данные!$D$2:$D$1001,Данные!$B$2:$B$1001,$A175,Данные!$C$2:$C$1001,"2024-09*")</f>
        <v>0</v>
      </c>
      <c r="O175" s="8" t="str">
        <f t="shared" si="17"/>
        <v>A</v>
      </c>
      <c r="P175" s="8" t="str">
        <f t="shared" si="18"/>
        <v>Z</v>
      </c>
      <c r="Q175" s="9">
        <f t="shared" si="19"/>
        <v>577311</v>
      </c>
    </row>
    <row r="176" spans="1:17" ht="14.25" customHeight="1" x14ac:dyDescent="0.25">
      <c r="A176" s="5" t="s">
        <v>179</v>
      </c>
      <c r="B176" s="5">
        <f>SUMIFS(Данные!$D$2:$D$1001,Данные!$B$2:$B$1001,$A176,Данные!$C$2:$C$1001,"2023-09*")</f>
        <v>0</v>
      </c>
      <c r="C176" s="5">
        <f>SUMIFS(Данные!$D$2:$D$1001,Данные!$B$2:$B$1001,$A176,Данные!$C$2:$C$1001,"2023-10*")</f>
        <v>0</v>
      </c>
      <c r="D176" s="5">
        <f>SUMIFS(Данные!$D$2:$D$1001,Данные!$B$2:$B$1001,$A176,Данные!$C$2:$C$1001,"2023-11*")</f>
        <v>157881</v>
      </c>
      <c r="E176" s="5">
        <f>SUMIFS(Данные!$D$2:$D$1001,Данные!$B$2:$B$1001,$A176,Данные!$C$2:$C$1001,"2023-12*")</f>
        <v>146119</v>
      </c>
      <c r="F176" s="5">
        <f>SUMIFS(Данные!$D$2:$D$1001,Данные!$B$2:$B$1001,$A176,Данные!$C$2:$C$1001,"2024-01*")</f>
        <v>18636</v>
      </c>
      <c r="G176" s="5">
        <f>SUMIFS(Данные!$D$2:$D$1001,Данные!$B$2:$B$1001,$A176,Данные!$C$2:$C$1001,"2024-02*")</f>
        <v>80285</v>
      </c>
      <c r="H176" s="5">
        <f>SUMIFS(Данные!$D$2:$D$1001,Данные!$B$2:$B$1001,$A176,Данные!$C$2:$C$1001,"2024-03*")</f>
        <v>0</v>
      </c>
      <c r="I176" s="5">
        <f>SUMIFS(Данные!$D$2:$D$1001,Данные!$B$2:$B$1001,$A176,Данные!$C$2:$C$1001,"2024-04*")</f>
        <v>0</v>
      </c>
      <c r="J176" s="5">
        <f>SUMIFS(Данные!$D$2:$D$1001,Данные!$B$2:$B$1001,$A176,Данные!$C$2:$C$1001,"2024-05*")</f>
        <v>0</v>
      </c>
      <c r="K176" s="5">
        <f>SUMIFS(Данные!$D$2:$D$1001,Данные!$B$2:$B$1001,$A176,Данные!$C$2:$C$1001,"2024-06*")</f>
        <v>41186</v>
      </c>
      <c r="L176" s="5">
        <f>SUMIFS(Данные!$D$2:$D$1001,Данные!$B$2:$B$1001,$A176,Данные!$C$2:$C$1001,"2024-07*")</f>
        <v>90129</v>
      </c>
      <c r="M176" s="5">
        <f>SUMIFS(Данные!$D$2:$D$1001,Данные!$B$2:$B$1001,$A176,Данные!$C$2:$C$1001,"2024-08*")</f>
        <v>68180</v>
      </c>
      <c r="N176" s="5">
        <f>SUMIFS(Данные!$D$2:$D$1001,Данные!$B$2:$B$1001,$A176,Данные!$C$2:$C$1001,"2024-09*")</f>
        <v>0</v>
      </c>
      <c r="O176" s="8" t="str">
        <f t="shared" si="17"/>
        <v>A</v>
      </c>
      <c r="P176" s="8" t="str">
        <f t="shared" si="18"/>
        <v>Z</v>
      </c>
      <c r="Q176" s="9">
        <f t="shared" si="19"/>
        <v>602416</v>
      </c>
    </row>
    <row r="177" spans="1:17" ht="14.25" customHeight="1" x14ac:dyDescent="0.25">
      <c r="A177" s="5" t="s">
        <v>318</v>
      </c>
      <c r="B177" s="5">
        <f>SUMIFS(Данные!$D$2:$D$1001,Данные!$B$2:$B$1001,$A177,Данные!$C$2:$C$1001,"2023-09*")</f>
        <v>0</v>
      </c>
      <c r="C177" s="5">
        <f>SUMIFS(Данные!$D$2:$D$1001,Данные!$B$2:$B$1001,$A177,Данные!$C$2:$C$1001,"2023-10*")</f>
        <v>0</v>
      </c>
      <c r="D177" s="5">
        <f>SUMIFS(Данные!$D$2:$D$1001,Данные!$B$2:$B$1001,$A177,Данные!$C$2:$C$1001,"2023-11*")</f>
        <v>0</v>
      </c>
      <c r="E177" s="5">
        <f>SUMIFS(Данные!$D$2:$D$1001,Данные!$B$2:$B$1001,$A177,Данные!$C$2:$C$1001,"2023-12*")</f>
        <v>0</v>
      </c>
      <c r="F177" s="5">
        <f>SUMIFS(Данные!$D$2:$D$1001,Данные!$B$2:$B$1001,$A177,Данные!$C$2:$C$1001,"2024-01*")</f>
        <v>0</v>
      </c>
      <c r="G177" s="5">
        <f>SUMIFS(Данные!$D$2:$D$1001,Данные!$B$2:$B$1001,$A177,Данные!$C$2:$C$1001,"2024-02*")</f>
        <v>23255</v>
      </c>
      <c r="H177" s="5">
        <f>SUMIFS(Данные!$D$2:$D$1001,Данные!$B$2:$B$1001,$A177,Данные!$C$2:$C$1001,"2024-03*")</f>
        <v>0</v>
      </c>
      <c r="I177" s="5">
        <f>SUMIFS(Данные!$D$2:$D$1001,Данные!$B$2:$B$1001,$A177,Данные!$C$2:$C$1001,"2024-04*")</f>
        <v>0</v>
      </c>
      <c r="J177" s="5">
        <f>SUMIFS(Данные!$D$2:$D$1001,Данные!$B$2:$B$1001,$A177,Данные!$C$2:$C$1001,"2024-05*")</f>
        <v>80141</v>
      </c>
      <c r="K177" s="5">
        <f>SUMIFS(Данные!$D$2:$D$1001,Данные!$B$2:$B$1001,$A177,Данные!$C$2:$C$1001,"2024-06*")</f>
        <v>0</v>
      </c>
      <c r="L177" s="5">
        <f>SUMIFS(Данные!$D$2:$D$1001,Данные!$B$2:$B$1001,$A177,Данные!$C$2:$C$1001,"2024-07*")</f>
        <v>0</v>
      </c>
      <c r="M177" s="5">
        <f>SUMIFS(Данные!$D$2:$D$1001,Данные!$B$2:$B$1001,$A177,Данные!$C$2:$C$1001,"2024-08*")</f>
        <v>100733</v>
      </c>
      <c r="N177" s="5">
        <f>SUMIFS(Данные!$D$2:$D$1001,Данные!$B$2:$B$1001,$A177,Данные!$C$2:$C$1001,"2024-09*")</f>
        <v>0</v>
      </c>
      <c r="O177" s="8" t="str">
        <f t="shared" si="17"/>
        <v>B</v>
      </c>
      <c r="P177" s="8" t="str">
        <f t="shared" si="18"/>
        <v>Z</v>
      </c>
      <c r="Q177" s="9">
        <f t="shared" si="19"/>
        <v>204129</v>
      </c>
    </row>
    <row r="178" spans="1:17" ht="14.25" customHeight="1" x14ac:dyDescent="0.25">
      <c r="A178" s="5" t="s">
        <v>162</v>
      </c>
      <c r="B178" s="5">
        <f>SUMIFS(Данные!$D$2:$D$1001,Данные!$B$2:$B$1001,$A178,Данные!$C$2:$C$1001,"2023-09*")</f>
        <v>0</v>
      </c>
      <c r="C178" s="5">
        <f>SUMIFS(Данные!$D$2:$D$1001,Данные!$B$2:$B$1001,$A178,Данные!$C$2:$C$1001,"2023-10*")</f>
        <v>39515</v>
      </c>
      <c r="D178" s="5">
        <f>SUMIFS(Данные!$D$2:$D$1001,Данные!$B$2:$B$1001,$A178,Данные!$C$2:$C$1001,"2023-11*")</f>
        <v>65240</v>
      </c>
      <c r="E178" s="5">
        <f>SUMIFS(Данные!$D$2:$D$1001,Данные!$B$2:$B$1001,$A178,Данные!$C$2:$C$1001,"2023-12*")</f>
        <v>0</v>
      </c>
      <c r="F178" s="5">
        <f>SUMIFS(Данные!$D$2:$D$1001,Данные!$B$2:$B$1001,$A178,Данные!$C$2:$C$1001,"2024-01*")</f>
        <v>0</v>
      </c>
      <c r="G178" s="5">
        <f>SUMIFS(Данные!$D$2:$D$1001,Данные!$B$2:$B$1001,$A178,Данные!$C$2:$C$1001,"2024-02*")</f>
        <v>36851</v>
      </c>
      <c r="H178" s="5">
        <f>SUMIFS(Данные!$D$2:$D$1001,Данные!$B$2:$B$1001,$A178,Данные!$C$2:$C$1001,"2024-03*")</f>
        <v>93068</v>
      </c>
      <c r="I178" s="5">
        <f>SUMIFS(Данные!$D$2:$D$1001,Данные!$B$2:$B$1001,$A178,Данные!$C$2:$C$1001,"2024-04*")</f>
        <v>0</v>
      </c>
      <c r="J178" s="5">
        <f>SUMIFS(Данные!$D$2:$D$1001,Данные!$B$2:$B$1001,$A178,Данные!$C$2:$C$1001,"2024-05*")</f>
        <v>0</v>
      </c>
      <c r="K178" s="5">
        <f>SUMIFS(Данные!$D$2:$D$1001,Данные!$B$2:$B$1001,$A178,Данные!$C$2:$C$1001,"2024-06*")</f>
        <v>0</v>
      </c>
      <c r="L178" s="5">
        <f>SUMIFS(Данные!$D$2:$D$1001,Данные!$B$2:$B$1001,$A178,Данные!$C$2:$C$1001,"2024-07*")</f>
        <v>40321</v>
      </c>
      <c r="M178" s="5">
        <f>SUMIFS(Данные!$D$2:$D$1001,Данные!$B$2:$B$1001,$A178,Данные!$C$2:$C$1001,"2024-08*")</f>
        <v>0</v>
      </c>
      <c r="N178" s="5">
        <f>SUMIFS(Данные!$D$2:$D$1001,Данные!$B$2:$B$1001,$A178,Данные!$C$2:$C$1001,"2024-09*")</f>
        <v>0</v>
      </c>
      <c r="O178" s="8" t="str">
        <f t="shared" si="17"/>
        <v>A</v>
      </c>
      <c r="P178" s="8" t="str">
        <f t="shared" si="18"/>
        <v>Z</v>
      </c>
      <c r="Q178" s="9">
        <f t="shared" si="19"/>
        <v>274995</v>
      </c>
    </row>
    <row r="179" spans="1:17" ht="14.25" customHeight="1" x14ac:dyDescent="0.25">
      <c r="A179" s="5" t="s">
        <v>228</v>
      </c>
      <c r="B179" s="5">
        <f>SUMIFS(Данные!$D$2:$D$1001,Данные!$B$2:$B$1001,$A179,Данные!$C$2:$C$1001,"2023-09*")</f>
        <v>0</v>
      </c>
      <c r="C179" s="5">
        <f>SUMIFS(Данные!$D$2:$D$1001,Данные!$B$2:$B$1001,$A179,Данные!$C$2:$C$1001,"2023-10*")</f>
        <v>0</v>
      </c>
      <c r="D179" s="5">
        <f>SUMIFS(Данные!$D$2:$D$1001,Данные!$B$2:$B$1001,$A179,Данные!$C$2:$C$1001,"2023-11*")</f>
        <v>0</v>
      </c>
      <c r="E179" s="5">
        <f>SUMIFS(Данные!$D$2:$D$1001,Данные!$B$2:$B$1001,$A179,Данные!$C$2:$C$1001,"2023-12*")</f>
        <v>109569</v>
      </c>
      <c r="F179" s="5">
        <f>SUMIFS(Данные!$D$2:$D$1001,Данные!$B$2:$B$1001,$A179,Данные!$C$2:$C$1001,"2024-01*")</f>
        <v>114438</v>
      </c>
      <c r="G179" s="5">
        <f>SUMIFS(Данные!$D$2:$D$1001,Данные!$B$2:$B$1001,$A179,Данные!$C$2:$C$1001,"2024-02*")</f>
        <v>32298</v>
      </c>
      <c r="H179" s="5">
        <f>SUMIFS(Данные!$D$2:$D$1001,Данные!$B$2:$B$1001,$A179,Данные!$C$2:$C$1001,"2024-03*")</f>
        <v>61523</v>
      </c>
      <c r="I179" s="5">
        <f>SUMIFS(Данные!$D$2:$D$1001,Данные!$B$2:$B$1001,$A179,Данные!$C$2:$C$1001,"2024-04*")</f>
        <v>0</v>
      </c>
      <c r="J179" s="5">
        <f>SUMIFS(Данные!$D$2:$D$1001,Данные!$B$2:$B$1001,$A179,Данные!$C$2:$C$1001,"2024-05*")</f>
        <v>0</v>
      </c>
      <c r="K179" s="5">
        <f>SUMIFS(Данные!$D$2:$D$1001,Данные!$B$2:$B$1001,$A179,Данные!$C$2:$C$1001,"2024-06*")</f>
        <v>0</v>
      </c>
      <c r="L179" s="5">
        <f>SUMIFS(Данные!$D$2:$D$1001,Данные!$B$2:$B$1001,$A179,Данные!$C$2:$C$1001,"2024-07*")</f>
        <v>32412</v>
      </c>
      <c r="M179" s="5">
        <f>SUMIFS(Данные!$D$2:$D$1001,Данные!$B$2:$B$1001,$A179,Данные!$C$2:$C$1001,"2024-08*")</f>
        <v>0</v>
      </c>
      <c r="N179" s="5">
        <f>SUMIFS(Данные!$D$2:$D$1001,Данные!$B$2:$B$1001,$A179,Данные!$C$2:$C$1001,"2024-09*")</f>
        <v>0</v>
      </c>
      <c r="O179" s="8" t="str">
        <f t="shared" si="17"/>
        <v>A</v>
      </c>
      <c r="P179" s="8" t="str">
        <f t="shared" si="18"/>
        <v>Z</v>
      </c>
      <c r="Q179" s="9">
        <f t="shared" si="19"/>
        <v>350240</v>
      </c>
    </row>
    <row r="180" spans="1:17" ht="14.25" customHeight="1" x14ac:dyDescent="0.25">
      <c r="A180" s="5" t="s">
        <v>17</v>
      </c>
      <c r="B180" s="5">
        <f>SUMIFS(Данные!$D$2:$D$1001,Данные!$B$2:$B$1001,$A180,Данные!$C$2:$C$1001,"2023-09*")</f>
        <v>81699</v>
      </c>
      <c r="C180" s="5">
        <f>SUMIFS(Данные!$D$2:$D$1001,Данные!$B$2:$B$1001,$A180,Данные!$C$2:$C$1001,"2023-10*")</f>
        <v>0</v>
      </c>
      <c r="D180" s="5">
        <f>SUMIFS(Данные!$D$2:$D$1001,Данные!$B$2:$B$1001,$A180,Данные!$C$2:$C$1001,"2023-11*")</f>
        <v>0</v>
      </c>
      <c r="E180" s="5">
        <f>SUMIFS(Данные!$D$2:$D$1001,Данные!$B$2:$B$1001,$A180,Данные!$C$2:$C$1001,"2023-12*")</f>
        <v>0</v>
      </c>
      <c r="F180" s="5">
        <f>SUMIFS(Данные!$D$2:$D$1001,Данные!$B$2:$B$1001,$A180,Данные!$C$2:$C$1001,"2024-01*")</f>
        <v>0</v>
      </c>
      <c r="G180" s="5">
        <f>SUMIFS(Данные!$D$2:$D$1001,Данные!$B$2:$B$1001,$A180,Данные!$C$2:$C$1001,"2024-02*")</f>
        <v>0</v>
      </c>
      <c r="H180" s="5">
        <f>SUMIFS(Данные!$D$2:$D$1001,Данные!$B$2:$B$1001,$A180,Данные!$C$2:$C$1001,"2024-03*")</f>
        <v>0</v>
      </c>
      <c r="I180" s="5">
        <f>SUMIFS(Данные!$D$2:$D$1001,Данные!$B$2:$B$1001,$A180,Данные!$C$2:$C$1001,"2024-04*")</f>
        <v>0</v>
      </c>
      <c r="J180" s="5">
        <f>SUMIFS(Данные!$D$2:$D$1001,Данные!$B$2:$B$1001,$A180,Данные!$C$2:$C$1001,"2024-05*")</f>
        <v>49562</v>
      </c>
      <c r="K180" s="5">
        <f>SUMIFS(Данные!$D$2:$D$1001,Данные!$B$2:$B$1001,$A180,Данные!$C$2:$C$1001,"2024-06*")</f>
        <v>0</v>
      </c>
      <c r="L180" s="5">
        <f>SUMIFS(Данные!$D$2:$D$1001,Данные!$B$2:$B$1001,$A180,Данные!$C$2:$C$1001,"2024-07*")</f>
        <v>0</v>
      </c>
      <c r="M180" s="5">
        <f>SUMIFS(Данные!$D$2:$D$1001,Данные!$B$2:$B$1001,$A180,Данные!$C$2:$C$1001,"2024-08*")</f>
        <v>0</v>
      </c>
      <c r="N180" s="5">
        <f>SUMIFS(Данные!$D$2:$D$1001,Данные!$B$2:$B$1001,$A180,Данные!$C$2:$C$1001,"2024-09*")</f>
        <v>0</v>
      </c>
      <c r="O180" s="8" t="str">
        <f t="shared" si="17"/>
        <v>C</v>
      </c>
      <c r="P180" s="8" t="str">
        <f t="shared" si="18"/>
        <v>Z</v>
      </c>
      <c r="Q180" s="9">
        <f t="shared" si="19"/>
        <v>131261</v>
      </c>
    </row>
    <row r="181" spans="1:17" ht="14.25" customHeight="1" x14ac:dyDescent="0.25">
      <c r="A181" s="5" t="s">
        <v>349</v>
      </c>
      <c r="B181" s="5">
        <f>SUMIFS(Данные!$D$2:$D$1001,Данные!$B$2:$B$1001,$A181,Данные!$C$2:$C$1001,"2023-09*")</f>
        <v>0</v>
      </c>
      <c r="C181" s="5">
        <f>SUMIFS(Данные!$D$2:$D$1001,Данные!$B$2:$B$1001,$A181,Данные!$C$2:$C$1001,"2023-10*")</f>
        <v>0</v>
      </c>
      <c r="D181" s="5">
        <f>SUMIFS(Данные!$D$2:$D$1001,Данные!$B$2:$B$1001,$A181,Данные!$C$2:$C$1001,"2023-11*")</f>
        <v>0</v>
      </c>
      <c r="E181" s="5">
        <f>SUMIFS(Данные!$D$2:$D$1001,Данные!$B$2:$B$1001,$A181,Данные!$C$2:$C$1001,"2023-12*")</f>
        <v>0</v>
      </c>
      <c r="F181" s="5">
        <f>SUMIFS(Данные!$D$2:$D$1001,Данные!$B$2:$B$1001,$A181,Данные!$C$2:$C$1001,"2024-01*")</f>
        <v>0</v>
      </c>
      <c r="G181" s="5">
        <f>SUMIFS(Данные!$D$2:$D$1001,Данные!$B$2:$B$1001,$A181,Данные!$C$2:$C$1001,"2024-02*")</f>
        <v>0</v>
      </c>
      <c r="H181" s="5">
        <f>SUMIFS(Данные!$D$2:$D$1001,Данные!$B$2:$B$1001,$A181,Данные!$C$2:$C$1001,"2024-03*")</f>
        <v>0</v>
      </c>
      <c r="I181" s="5">
        <f>SUMIFS(Данные!$D$2:$D$1001,Данные!$B$2:$B$1001,$A181,Данные!$C$2:$C$1001,"2024-04*")</f>
        <v>102824</v>
      </c>
      <c r="J181" s="5">
        <f>SUMIFS(Данные!$D$2:$D$1001,Данные!$B$2:$B$1001,$A181,Данные!$C$2:$C$1001,"2024-05*")</f>
        <v>0</v>
      </c>
      <c r="K181" s="5">
        <f>SUMIFS(Данные!$D$2:$D$1001,Данные!$B$2:$B$1001,$A181,Данные!$C$2:$C$1001,"2024-06*")</f>
        <v>0</v>
      </c>
      <c r="L181" s="5">
        <f>SUMIFS(Данные!$D$2:$D$1001,Данные!$B$2:$B$1001,$A181,Данные!$C$2:$C$1001,"2024-07*")</f>
        <v>0</v>
      </c>
      <c r="M181" s="5">
        <f>SUMIFS(Данные!$D$2:$D$1001,Данные!$B$2:$B$1001,$A181,Данные!$C$2:$C$1001,"2024-08*")</f>
        <v>26998</v>
      </c>
      <c r="N181" s="5">
        <f>SUMIFS(Данные!$D$2:$D$1001,Данные!$B$2:$B$1001,$A181,Данные!$C$2:$C$1001,"2024-09*")</f>
        <v>0</v>
      </c>
      <c r="O181" s="8" t="str">
        <f t="shared" si="17"/>
        <v>C</v>
      </c>
      <c r="P181" s="8" t="str">
        <f t="shared" si="18"/>
        <v>Z</v>
      </c>
      <c r="Q181" s="9">
        <f t="shared" si="19"/>
        <v>129822</v>
      </c>
    </row>
    <row r="182" spans="1:17" ht="14.25" customHeight="1" x14ac:dyDescent="0.25">
      <c r="A182" s="5" t="s">
        <v>219</v>
      </c>
      <c r="B182" s="5">
        <f>SUMIFS(Данные!$D$2:$D$1001,Данные!$B$2:$B$1001,$A182,Данные!$C$2:$C$1001,"2023-09*")</f>
        <v>0</v>
      </c>
      <c r="C182" s="5">
        <f>SUMIFS(Данные!$D$2:$D$1001,Данные!$B$2:$B$1001,$A182,Данные!$C$2:$C$1001,"2023-10*")</f>
        <v>0</v>
      </c>
      <c r="D182" s="5">
        <f>SUMIFS(Данные!$D$2:$D$1001,Данные!$B$2:$B$1001,$A182,Данные!$C$2:$C$1001,"2023-11*")</f>
        <v>0</v>
      </c>
      <c r="E182" s="5">
        <f>SUMIFS(Данные!$D$2:$D$1001,Данные!$B$2:$B$1001,$A182,Данные!$C$2:$C$1001,"2023-12*")</f>
        <v>27246</v>
      </c>
      <c r="F182" s="5">
        <f>SUMIFS(Данные!$D$2:$D$1001,Данные!$B$2:$B$1001,$A182,Данные!$C$2:$C$1001,"2024-01*")</f>
        <v>0</v>
      </c>
      <c r="G182" s="5">
        <f>SUMIFS(Данные!$D$2:$D$1001,Данные!$B$2:$B$1001,$A182,Данные!$C$2:$C$1001,"2024-02*")</f>
        <v>0</v>
      </c>
      <c r="H182" s="5">
        <f>SUMIFS(Данные!$D$2:$D$1001,Данные!$B$2:$B$1001,$A182,Данные!$C$2:$C$1001,"2024-03*")</f>
        <v>0</v>
      </c>
      <c r="I182" s="5">
        <f>SUMIFS(Данные!$D$2:$D$1001,Данные!$B$2:$B$1001,$A182,Данные!$C$2:$C$1001,"2024-04*")</f>
        <v>18281</v>
      </c>
      <c r="J182" s="5">
        <f>SUMIFS(Данные!$D$2:$D$1001,Данные!$B$2:$B$1001,$A182,Данные!$C$2:$C$1001,"2024-05*")</f>
        <v>0</v>
      </c>
      <c r="K182" s="5">
        <f>SUMIFS(Данные!$D$2:$D$1001,Данные!$B$2:$B$1001,$A182,Данные!$C$2:$C$1001,"2024-06*")</f>
        <v>0</v>
      </c>
      <c r="L182" s="5">
        <f>SUMIFS(Данные!$D$2:$D$1001,Данные!$B$2:$B$1001,$A182,Данные!$C$2:$C$1001,"2024-07*")</f>
        <v>0</v>
      </c>
      <c r="M182" s="5">
        <f>SUMIFS(Данные!$D$2:$D$1001,Данные!$B$2:$B$1001,$A182,Данные!$C$2:$C$1001,"2024-08*")</f>
        <v>0</v>
      </c>
      <c r="N182" s="5">
        <f>SUMIFS(Данные!$D$2:$D$1001,Данные!$B$2:$B$1001,$A182,Данные!$C$2:$C$1001,"2024-09*")</f>
        <v>0</v>
      </c>
      <c r="O182" s="8" t="str">
        <f t="shared" si="17"/>
        <v>C</v>
      </c>
      <c r="P182" s="8" t="str">
        <f t="shared" si="18"/>
        <v>Z</v>
      </c>
      <c r="Q182" s="9">
        <f t="shared" si="19"/>
        <v>45527</v>
      </c>
    </row>
    <row r="183" spans="1:17" ht="14.25" customHeight="1" x14ac:dyDescent="0.25">
      <c r="A183" s="5" t="s">
        <v>61</v>
      </c>
      <c r="B183" s="5">
        <f>SUMIFS(Данные!$D$2:$D$1001,Данные!$B$2:$B$1001,$A183,Данные!$C$2:$C$1001,"2023-09*")</f>
        <v>26521</v>
      </c>
      <c r="C183" s="5">
        <f>SUMIFS(Данные!$D$2:$D$1001,Данные!$B$2:$B$1001,$A183,Данные!$C$2:$C$1001,"2023-10*")</f>
        <v>0</v>
      </c>
      <c r="D183" s="5">
        <f>SUMIFS(Данные!$D$2:$D$1001,Данные!$B$2:$B$1001,$A183,Данные!$C$2:$C$1001,"2023-11*")</f>
        <v>98667</v>
      </c>
      <c r="E183" s="5">
        <f>SUMIFS(Данные!$D$2:$D$1001,Данные!$B$2:$B$1001,$A183,Данные!$C$2:$C$1001,"2023-12*")</f>
        <v>54634</v>
      </c>
      <c r="F183" s="5">
        <f>SUMIFS(Данные!$D$2:$D$1001,Данные!$B$2:$B$1001,$A183,Данные!$C$2:$C$1001,"2024-01*")</f>
        <v>0</v>
      </c>
      <c r="G183" s="5">
        <f>SUMIFS(Данные!$D$2:$D$1001,Данные!$B$2:$B$1001,$A183,Данные!$C$2:$C$1001,"2024-02*")</f>
        <v>0</v>
      </c>
      <c r="H183" s="5">
        <f>SUMIFS(Данные!$D$2:$D$1001,Данные!$B$2:$B$1001,$A183,Данные!$C$2:$C$1001,"2024-03*")</f>
        <v>159736</v>
      </c>
      <c r="I183" s="5">
        <f>SUMIFS(Данные!$D$2:$D$1001,Данные!$B$2:$B$1001,$A183,Данные!$C$2:$C$1001,"2024-04*")</f>
        <v>0</v>
      </c>
      <c r="J183" s="5">
        <f>SUMIFS(Данные!$D$2:$D$1001,Данные!$B$2:$B$1001,$A183,Данные!$C$2:$C$1001,"2024-05*")</f>
        <v>79089</v>
      </c>
      <c r="K183" s="5">
        <f>SUMIFS(Данные!$D$2:$D$1001,Данные!$B$2:$B$1001,$A183,Данные!$C$2:$C$1001,"2024-06*")</f>
        <v>0</v>
      </c>
      <c r="L183" s="5">
        <f>SUMIFS(Данные!$D$2:$D$1001,Данные!$B$2:$B$1001,$A183,Данные!$C$2:$C$1001,"2024-07*")</f>
        <v>152239</v>
      </c>
      <c r="M183" s="5">
        <f>SUMIFS(Данные!$D$2:$D$1001,Данные!$B$2:$B$1001,$A183,Данные!$C$2:$C$1001,"2024-08*")</f>
        <v>0</v>
      </c>
      <c r="N183" s="5">
        <f>SUMIFS(Данные!$D$2:$D$1001,Данные!$B$2:$B$1001,$A183,Данные!$C$2:$C$1001,"2024-09*")</f>
        <v>0</v>
      </c>
      <c r="O183" s="8" t="str">
        <f t="shared" si="17"/>
        <v>A</v>
      </c>
      <c r="P183" s="8" t="str">
        <f t="shared" si="18"/>
        <v>Z</v>
      </c>
      <c r="Q183" s="9">
        <f t="shared" si="19"/>
        <v>570886</v>
      </c>
    </row>
    <row r="184" spans="1:17" ht="14.25" customHeight="1" x14ac:dyDescent="0.25">
      <c r="A184" s="5" t="s">
        <v>65</v>
      </c>
      <c r="B184" s="5">
        <f>SUMIFS(Данные!$D$2:$D$1001,Данные!$B$2:$B$1001,$A184,Данные!$C$2:$C$1001,"2023-09*")</f>
        <v>82738</v>
      </c>
      <c r="C184" s="5">
        <f>SUMIFS(Данные!$D$2:$D$1001,Данные!$B$2:$B$1001,$A184,Данные!$C$2:$C$1001,"2023-10*")</f>
        <v>0</v>
      </c>
      <c r="D184" s="5">
        <f>SUMIFS(Данные!$D$2:$D$1001,Данные!$B$2:$B$1001,$A184,Данные!$C$2:$C$1001,"2023-11*")</f>
        <v>121388</v>
      </c>
      <c r="E184" s="5">
        <f>SUMIFS(Данные!$D$2:$D$1001,Данные!$B$2:$B$1001,$A184,Данные!$C$2:$C$1001,"2023-12*")</f>
        <v>0</v>
      </c>
      <c r="F184" s="5">
        <f>SUMIFS(Данные!$D$2:$D$1001,Данные!$B$2:$B$1001,$A184,Данные!$C$2:$C$1001,"2024-01*")</f>
        <v>0</v>
      </c>
      <c r="G184" s="5">
        <f>SUMIFS(Данные!$D$2:$D$1001,Данные!$B$2:$B$1001,$A184,Данные!$C$2:$C$1001,"2024-02*")</f>
        <v>49397</v>
      </c>
      <c r="H184" s="5">
        <f>SUMIFS(Данные!$D$2:$D$1001,Данные!$B$2:$B$1001,$A184,Данные!$C$2:$C$1001,"2024-03*")</f>
        <v>91670</v>
      </c>
      <c r="I184" s="5">
        <f>SUMIFS(Данные!$D$2:$D$1001,Данные!$B$2:$B$1001,$A184,Данные!$C$2:$C$1001,"2024-04*")</f>
        <v>86061</v>
      </c>
      <c r="J184" s="5">
        <f>SUMIFS(Данные!$D$2:$D$1001,Данные!$B$2:$B$1001,$A184,Данные!$C$2:$C$1001,"2024-05*")</f>
        <v>0</v>
      </c>
      <c r="K184" s="5">
        <f>SUMIFS(Данные!$D$2:$D$1001,Данные!$B$2:$B$1001,$A184,Данные!$C$2:$C$1001,"2024-06*")</f>
        <v>0</v>
      </c>
      <c r="L184" s="5">
        <f>SUMIFS(Данные!$D$2:$D$1001,Данные!$B$2:$B$1001,$A184,Данные!$C$2:$C$1001,"2024-07*")</f>
        <v>0</v>
      </c>
      <c r="M184" s="5">
        <f>SUMIFS(Данные!$D$2:$D$1001,Данные!$B$2:$B$1001,$A184,Данные!$C$2:$C$1001,"2024-08*")</f>
        <v>45681</v>
      </c>
      <c r="N184" s="5">
        <f>SUMIFS(Данные!$D$2:$D$1001,Данные!$B$2:$B$1001,$A184,Данные!$C$2:$C$1001,"2024-09*")</f>
        <v>0</v>
      </c>
      <c r="O184" s="8" t="str">
        <f t="shared" si="17"/>
        <v>A</v>
      </c>
      <c r="P184" s="8" t="str">
        <f t="shared" si="18"/>
        <v>Z</v>
      </c>
      <c r="Q184" s="9">
        <f t="shared" si="19"/>
        <v>476935</v>
      </c>
    </row>
    <row r="185" spans="1:17" ht="14.25" customHeight="1" x14ac:dyDescent="0.25">
      <c r="A185" s="5" t="s">
        <v>96</v>
      </c>
      <c r="B185" s="5">
        <f>SUMIFS(Данные!$D$2:$D$1001,Данные!$B$2:$B$1001,$A185,Данные!$C$2:$C$1001,"2023-09*")</f>
        <v>22254</v>
      </c>
      <c r="C185" s="5">
        <f>SUMIFS(Данные!$D$2:$D$1001,Данные!$B$2:$B$1001,$A185,Данные!$C$2:$C$1001,"2023-10*")</f>
        <v>90021</v>
      </c>
      <c r="D185" s="5">
        <f>SUMIFS(Данные!$D$2:$D$1001,Данные!$B$2:$B$1001,$A185,Данные!$C$2:$C$1001,"2023-11*")</f>
        <v>0</v>
      </c>
      <c r="E185" s="5">
        <f>SUMIFS(Данные!$D$2:$D$1001,Данные!$B$2:$B$1001,$A185,Данные!$C$2:$C$1001,"2023-12*")</f>
        <v>51287</v>
      </c>
      <c r="F185" s="5">
        <f>SUMIFS(Данные!$D$2:$D$1001,Данные!$B$2:$B$1001,$A185,Данные!$C$2:$C$1001,"2024-01*")</f>
        <v>0</v>
      </c>
      <c r="G185" s="5">
        <f>SUMIFS(Данные!$D$2:$D$1001,Данные!$B$2:$B$1001,$A185,Данные!$C$2:$C$1001,"2024-02*")</f>
        <v>18955</v>
      </c>
      <c r="H185" s="5">
        <f>SUMIFS(Данные!$D$2:$D$1001,Данные!$B$2:$B$1001,$A185,Данные!$C$2:$C$1001,"2024-03*")</f>
        <v>58331</v>
      </c>
      <c r="I185" s="5">
        <f>SUMIFS(Данные!$D$2:$D$1001,Данные!$B$2:$B$1001,$A185,Данные!$C$2:$C$1001,"2024-04*")</f>
        <v>0</v>
      </c>
      <c r="J185" s="5">
        <f>SUMIFS(Данные!$D$2:$D$1001,Данные!$B$2:$B$1001,$A185,Данные!$C$2:$C$1001,"2024-05*")</f>
        <v>159263</v>
      </c>
      <c r="K185" s="5">
        <f>SUMIFS(Данные!$D$2:$D$1001,Данные!$B$2:$B$1001,$A185,Данные!$C$2:$C$1001,"2024-06*")</f>
        <v>0</v>
      </c>
      <c r="L185" s="5">
        <f>SUMIFS(Данные!$D$2:$D$1001,Данные!$B$2:$B$1001,$A185,Данные!$C$2:$C$1001,"2024-07*")</f>
        <v>11089</v>
      </c>
      <c r="M185" s="5">
        <f>SUMIFS(Данные!$D$2:$D$1001,Данные!$B$2:$B$1001,$A185,Данные!$C$2:$C$1001,"2024-08*")</f>
        <v>92386</v>
      </c>
      <c r="N185" s="5">
        <f>SUMIFS(Данные!$D$2:$D$1001,Данные!$B$2:$B$1001,$A185,Данные!$C$2:$C$1001,"2024-09*")</f>
        <v>0</v>
      </c>
      <c r="O185" s="8" t="str">
        <f t="shared" si="17"/>
        <v>A</v>
      </c>
      <c r="P185" s="8" t="str">
        <f t="shared" si="18"/>
        <v>Z</v>
      </c>
      <c r="Q185" s="9">
        <f t="shared" si="19"/>
        <v>503586</v>
      </c>
    </row>
    <row r="186" spans="1:17" ht="14.25" customHeight="1" x14ac:dyDescent="0.25">
      <c r="A186" s="5" t="s">
        <v>187</v>
      </c>
      <c r="B186" s="5">
        <f>SUMIFS(Данные!$D$2:$D$1001,Данные!$B$2:$B$1001,$A186,Данные!$C$2:$C$1001,"2023-09*")</f>
        <v>0</v>
      </c>
      <c r="C186" s="5">
        <f>SUMIFS(Данные!$D$2:$D$1001,Данные!$B$2:$B$1001,$A186,Данные!$C$2:$C$1001,"2023-10*")</f>
        <v>0</v>
      </c>
      <c r="D186" s="5">
        <f>SUMIFS(Данные!$D$2:$D$1001,Данные!$B$2:$B$1001,$A186,Данные!$C$2:$C$1001,"2023-11*")</f>
        <v>65672</v>
      </c>
      <c r="E186" s="5">
        <f>SUMIFS(Данные!$D$2:$D$1001,Данные!$B$2:$B$1001,$A186,Данные!$C$2:$C$1001,"2023-12*")</f>
        <v>0</v>
      </c>
      <c r="F186" s="5">
        <f>SUMIFS(Данные!$D$2:$D$1001,Данные!$B$2:$B$1001,$A186,Данные!$C$2:$C$1001,"2024-01*")</f>
        <v>40828</v>
      </c>
      <c r="G186" s="5">
        <f>SUMIFS(Данные!$D$2:$D$1001,Данные!$B$2:$B$1001,$A186,Данные!$C$2:$C$1001,"2024-02*")</f>
        <v>0</v>
      </c>
      <c r="H186" s="5">
        <f>SUMIFS(Данные!$D$2:$D$1001,Данные!$B$2:$B$1001,$A186,Данные!$C$2:$C$1001,"2024-03*")</f>
        <v>0</v>
      </c>
      <c r="I186" s="5">
        <f>SUMIFS(Данные!$D$2:$D$1001,Данные!$B$2:$B$1001,$A186,Данные!$C$2:$C$1001,"2024-04*")</f>
        <v>99614</v>
      </c>
      <c r="J186" s="5">
        <f>SUMIFS(Данные!$D$2:$D$1001,Данные!$B$2:$B$1001,$A186,Данные!$C$2:$C$1001,"2024-05*")</f>
        <v>0</v>
      </c>
      <c r="K186" s="5">
        <f>SUMIFS(Данные!$D$2:$D$1001,Данные!$B$2:$B$1001,$A186,Данные!$C$2:$C$1001,"2024-06*")</f>
        <v>31785</v>
      </c>
      <c r="L186" s="5">
        <f>SUMIFS(Данные!$D$2:$D$1001,Данные!$B$2:$B$1001,$A186,Данные!$C$2:$C$1001,"2024-07*")</f>
        <v>0</v>
      </c>
      <c r="M186" s="5">
        <f>SUMIFS(Данные!$D$2:$D$1001,Данные!$B$2:$B$1001,$A186,Данные!$C$2:$C$1001,"2024-08*")</f>
        <v>0</v>
      </c>
      <c r="N186" s="5">
        <f>SUMIFS(Данные!$D$2:$D$1001,Данные!$B$2:$B$1001,$A186,Данные!$C$2:$C$1001,"2024-09*")</f>
        <v>0</v>
      </c>
      <c r="O186" s="8" t="str">
        <f t="shared" si="17"/>
        <v>A</v>
      </c>
      <c r="P186" s="8" t="str">
        <f t="shared" si="18"/>
        <v>Z</v>
      </c>
      <c r="Q186" s="9">
        <f t="shared" si="19"/>
        <v>237899</v>
      </c>
    </row>
    <row r="187" spans="1:17" ht="14.25" customHeight="1" x14ac:dyDescent="0.25">
      <c r="A187" s="5" t="s">
        <v>189</v>
      </c>
      <c r="B187" s="5">
        <f>SUMIFS(Данные!$D$2:$D$1001,Данные!$B$2:$B$1001,$A187,Данные!$C$2:$C$1001,"2023-09*")</f>
        <v>0</v>
      </c>
      <c r="C187" s="5">
        <f>SUMIFS(Данные!$D$2:$D$1001,Данные!$B$2:$B$1001,$A187,Данные!$C$2:$C$1001,"2023-10*")</f>
        <v>0</v>
      </c>
      <c r="D187" s="5">
        <f>SUMIFS(Данные!$D$2:$D$1001,Данные!$B$2:$B$1001,$A187,Данные!$C$2:$C$1001,"2023-11*")</f>
        <v>28692</v>
      </c>
      <c r="E187" s="5">
        <f>SUMIFS(Данные!$D$2:$D$1001,Данные!$B$2:$B$1001,$A187,Данные!$C$2:$C$1001,"2023-12*")</f>
        <v>0</v>
      </c>
      <c r="F187" s="5">
        <f>SUMIFS(Данные!$D$2:$D$1001,Данные!$B$2:$B$1001,$A187,Данные!$C$2:$C$1001,"2024-01*")</f>
        <v>63035</v>
      </c>
      <c r="G187" s="5">
        <f>SUMIFS(Данные!$D$2:$D$1001,Данные!$B$2:$B$1001,$A187,Данные!$C$2:$C$1001,"2024-02*")</f>
        <v>0</v>
      </c>
      <c r="H187" s="5">
        <f>SUMIFS(Данные!$D$2:$D$1001,Данные!$B$2:$B$1001,$A187,Данные!$C$2:$C$1001,"2024-03*")</f>
        <v>104364</v>
      </c>
      <c r="I187" s="5">
        <f>SUMIFS(Данные!$D$2:$D$1001,Данные!$B$2:$B$1001,$A187,Данные!$C$2:$C$1001,"2024-04*")</f>
        <v>0</v>
      </c>
      <c r="J187" s="5">
        <f>SUMIFS(Данные!$D$2:$D$1001,Данные!$B$2:$B$1001,$A187,Данные!$C$2:$C$1001,"2024-05*")</f>
        <v>0</v>
      </c>
      <c r="K187" s="5">
        <f>SUMIFS(Данные!$D$2:$D$1001,Данные!$B$2:$B$1001,$A187,Данные!$C$2:$C$1001,"2024-06*")</f>
        <v>0</v>
      </c>
      <c r="L187" s="5">
        <f>SUMIFS(Данные!$D$2:$D$1001,Данные!$B$2:$B$1001,$A187,Данные!$C$2:$C$1001,"2024-07*")</f>
        <v>0</v>
      </c>
      <c r="M187" s="5">
        <f>SUMIFS(Данные!$D$2:$D$1001,Данные!$B$2:$B$1001,$A187,Данные!$C$2:$C$1001,"2024-08*")</f>
        <v>0</v>
      </c>
      <c r="N187" s="5">
        <f>SUMIFS(Данные!$D$2:$D$1001,Данные!$B$2:$B$1001,$A187,Данные!$C$2:$C$1001,"2024-09*")</f>
        <v>0</v>
      </c>
      <c r="O187" s="8" t="str">
        <f t="shared" si="17"/>
        <v>B</v>
      </c>
      <c r="P187" s="8" t="str">
        <f t="shared" si="18"/>
        <v>Z</v>
      </c>
      <c r="Q187" s="9">
        <f t="shared" si="19"/>
        <v>196091</v>
      </c>
    </row>
    <row r="188" spans="1:17" ht="14.25" customHeight="1" x14ac:dyDescent="0.25">
      <c r="A188" s="5" t="s">
        <v>355</v>
      </c>
      <c r="B188" s="5">
        <f>SUMIFS(Данные!$D$2:$D$1001,Данные!$B$2:$B$1001,$A188,Данные!$C$2:$C$1001,"2023-09*")</f>
        <v>0</v>
      </c>
      <c r="C188" s="5">
        <f>SUMIFS(Данные!$D$2:$D$1001,Данные!$B$2:$B$1001,$A188,Данные!$C$2:$C$1001,"2023-10*")</f>
        <v>0</v>
      </c>
      <c r="D188" s="5">
        <f>SUMIFS(Данные!$D$2:$D$1001,Данные!$B$2:$B$1001,$A188,Данные!$C$2:$C$1001,"2023-11*")</f>
        <v>0</v>
      </c>
      <c r="E188" s="5">
        <f>SUMIFS(Данные!$D$2:$D$1001,Данные!$B$2:$B$1001,$A188,Данные!$C$2:$C$1001,"2023-12*")</f>
        <v>0</v>
      </c>
      <c r="F188" s="5">
        <f>SUMIFS(Данные!$D$2:$D$1001,Данные!$B$2:$B$1001,$A188,Данные!$C$2:$C$1001,"2024-01*")</f>
        <v>0</v>
      </c>
      <c r="G188" s="5">
        <f>SUMIFS(Данные!$D$2:$D$1001,Данные!$B$2:$B$1001,$A188,Данные!$C$2:$C$1001,"2024-02*")</f>
        <v>0</v>
      </c>
      <c r="H188" s="5">
        <f>SUMIFS(Данные!$D$2:$D$1001,Данные!$B$2:$B$1001,$A188,Данные!$C$2:$C$1001,"2024-03*")</f>
        <v>0</v>
      </c>
      <c r="I188" s="5">
        <f>SUMIFS(Данные!$D$2:$D$1001,Данные!$B$2:$B$1001,$A188,Данные!$C$2:$C$1001,"2024-04*")</f>
        <v>67383</v>
      </c>
      <c r="J188" s="5">
        <f>SUMIFS(Данные!$D$2:$D$1001,Данные!$B$2:$B$1001,$A188,Данные!$C$2:$C$1001,"2024-05*")</f>
        <v>0</v>
      </c>
      <c r="K188" s="5">
        <f>SUMIFS(Данные!$D$2:$D$1001,Данные!$B$2:$B$1001,$A188,Данные!$C$2:$C$1001,"2024-06*")</f>
        <v>0</v>
      </c>
      <c r="L188" s="5">
        <f>SUMIFS(Данные!$D$2:$D$1001,Данные!$B$2:$B$1001,$A188,Данные!$C$2:$C$1001,"2024-07*")</f>
        <v>0</v>
      </c>
      <c r="M188" s="5">
        <f>SUMIFS(Данные!$D$2:$D$1001,Данные!$B$2:$B$1001,$A188,Данные!$C$2:$C$1001,"2024-08*")</f>
        <v>0</v>
      </c>
      <c r="N188" s="5">
        <f>SUMIFS(Данные!$D$2:$D$1001,Данные!$B$2:$B$1001,$A188,Данные!$C$2:$C$1001,"2024-09*")</f>
        <v>0</v>
      </c>
      <c r="O188" s="8" t="str">
        <f t="shared" si="17"/>
        <v>C</v>
      </c>
      <c r="P188" s="8" t="str">
        <f t="shared" si="18"/>
        <v>Z</v>
      </c>
      <c r="Q188" s="9">
        <f t="shared" si="19"/>
        <v>67383</v>
      </c>
    </row>
    <row r="189" spans="1:17" ht="14.25" customHeight="1" x14ac:dyDescent="0.25">
      <c r="A189" s="5" t="s">
        <v>208</v>
      </c>
      <c r="B189" s="5">
        <f>SUMIFS(Данные!$D$2:$D$1001,Данные!$B$2:$B$1001,$A189,Данные!$C$2:$C$1001,"2023-09*")</f>
        <v>0</v>
      </c>
      <c r="C189" s="5">
        <f>SUMIFS(Данные!$D$2:$D$1001,Данные!$B$2:$B$1001,$A189,Данные!$C$2:$C$1001,"2023-10*")</f>
        <v>0</v>
      </c>
      <c r="D189" s="5">
        <f>SUMIFS(Данные!$D$2:$D$1001,Данные!$B$2:$B$1001,$A189,Данные!$C$2:$C$1001,"2023-11*")</f>
        <v>74196</v>
      </c>
      <c r="E189" s="5">
        <f>SUMIFS(Данные!$D$2:$D$1001,Данные!$B$2:$B$1001,$A189,Данные!$C$2:$C$1001,"2023-12*")</f>
        <v>0</v>
      </c>
      <c r="F189" s="5">
        <f>SUMIFS(Данные!$D$2:$D$1001,Данные!$B$2:$B$1001,$A189,Данные!$C$2:$C$1001,"2024-01*")</f>
        <v>0</v>
      </c>
      <c r="G189" s="5">
        <f>SUMIFS(Данные!$D$2:$D$1001,Данные!$B$2:$B$1001,$A189,Данные!$C$2:$C$1001,"2024-02*")</f>
        <v>0</v>
      </c>
      <c r="H189" s="5">
        <f>SUMIFS(Данные!$D$2:$D$1001,Данные!$B$2:$B$1001,$A189,Данные!$C$2:$C$1001,"2024-03*")</f>
        <v>0</v>
      </c>
      <c r="I189" s="5">
        <f>SUMIFS(Данные!$D$2:$D$1001,Данные!$B$2:$B$1001,$A189,Данные!$C$2:$C$1001,"2024-04*")</f>
        <v>0</v>
      </c>
      <c r="J189" s="5">
        <f>SUMIFS(Данные!$D$2:$D$1001,Данные!$B$2:$B$1001,$A189,Данные!$C$2:$C$1001,"2024-05*")</f>
        <v>0</v>
      </c>
      <c r="K189" s="5">
        <f>SUMIFS(Данные!$D$2:$D$1001,Данные!$B$2:$B$1001,$A189,Данные!$C$2:$C$1001,"2024-06*")</f>
        <v>0</v>
      </c>
      <c r="L189" s="5">
        <f>SUMIFS(Данные!$D$2:$D$1001,Данные!$B$2:$B$1001,$A189,Данные!$C$2:$C$1001,"2024-07*")</f>
        <v>0</v>
      </c>
      <c r="M189" s="5">
        <f>SUMIFS(Данные!$D$2:$D$1001,Данные!$B$2:$B$1001,$A189,Данные!$C$2:$C$1001,"2024-08*")</f>
        <v>0</v>
      </c>
      <c r="N189" s="5">
        <f>SUMIFS(Данные!$D$2:$D$1001,Данные!$B$2:$B$1001,$A189,Данные!$C$2:$C$1001,"2024-09*")</f>
        <v>0</v>
      </c>
      <c r="O189" s="8" t="str">
        <f t="shared" si="17"/>
        <v>C</v>
      </c>
      <c r="P189" s="8" t="str">
        <f t="shared" si="18"/>
        <v>Z</v>
      </c>
      <c r="Q189" s="9">
        <f t="shared" si="19"/>
        <v>74196</v>
      </c>
    </row>
    <row r="190" spans="1:17" ht="14.25" customHeight="1" x14ac:dyDescent="0.25">
      <c r="A190" s="5" t="s">
        <v>35</v>
      </c>
      <c r="B190" s="5">
        <f>SUMIFS(Данные!$D$2:$D$1001,Данные!$B$2:$B$1001,$A190,Данные!$C$2:$C$1001,"2023-09*")</f>
        <v>20637</v>
      </c>
      <c r="C190" s="5">
        <f>SUMIFS(Данные!$D$2:$D$1001,Данные!$B$2:$B$1001,$A190,Данные!$C$2:$C$1001,"2023-10*")</f>
        <v>0</v>
      </c>
      <c r="D190" s="5">
        <f>SUMIFS(Данные!$D$2:$D$1001,Данные!$B$2:$B$1001,$A190,Данные!$C$2:$C$1001,"2023-11*")</f>
        <v>80360</v>
      </c>
      <c r="E190" s="5">
        <f>SUMIFS(Данные!$D$2:$D$1001,Данные!$B$2:$B$1001,$A190,Данные!$C$2:$C$1001,"2023-12*")</f>
        <v>97344</v>
      </c>
      <c r="F190" s="5">
        <f>SUMIFS(Данные!$D$2:$D$1001,Данные!$B$2:$B$1001,$A190,Данные!$C$2:$C$1001,"2024-01*")</f>
        <v>90465</v>
      </c>
      <c r="G190" s="5">
        <f>SUMIFS(Данные!$D$2:$D$1001,Данные!$B$2:$B$1001,$A190,Данные!$C$2:$C$1001,"2024-02*")</f>
        <v>0</v>
      </c>
      <c r="H190" s="5">
        <f>SUMIFS(Данные!$D$2:$D$1001,Данные!$B$2:$B$1001,$A190,Данные!$C$2:$C$1001,"2024-03*")</f>
        <v>0</v>
      </c>
      <c r="I190" s="5">
        <f>SUMIFS(Данные!$D$2:$D$1001,Данные!$B$2:$B$1001,$A190,Данные!$C$2:$C$1001,"2024-04*")</f>
        <v>0</v>
      </c>
      <c r="J190" s="5">
        <f>SUMIFS(Данные!$D$2:$D$1001,Данные!$B$2:$B$1001,$A190,Данные!$C$2:$C$1001,"2024-05*")</f>
        <v>60046</v>
      </c>
      <c r="K190" s="5">
        <f>SUMIFS(Данные!$D$2:$D$1001,Данные!$B$2:$B$1001,$A190,Данные!$C$2:$C$1001,"2024-06*")</f>
        <v>0</v>
      </c>
      <c r="L190" s="5">
        <f>SUMIFS(Данные!$D$2:$D$1001,Данные!$B$2:$B$1001,$A190,Данные!$C$2:$C$1001,"2024-07*")</f>
        <v>0</v>
      </c>
      <c r="M190" s="5">
        <f>SUMIFS(Данные!$D$2:$D$1001,Данные!$B$2:$B$1001,$A190,Данные!$C$2:$C$1001,"2024-08*")</f>
        <v>0</v>
      </c>
      <c r="N190" s="5">
        <f>SUMIFS(Данные!$D$2:$D$1001,Данные!$B$2:$B$1001,$A190,Данные!$C$2:$C$1001,"2024-09*")</f>
        <v>0</v>
      </c>
      <c r="O190" s="8" t="str">
        <f t="shared" si="17"/>
        <v>A</v>
      </c>
      <c r="P190" s="8" t="str">
        <f t="shared" si="18"/>
        <v>Z</v>
      </c>
      <c r="Q190" s="9">
        <f t="shared" si="19"/>
        <v>348852</v>
      </c>
    </row>
    <row r="191" spans="1:17" ht="14.25" customHeight="1" x14ac:dyDescent="0.25">
      <c r="A191" s="5" t="s">
        <v>163</v>
      </c>
      <c r="B191" s="5">
        <f>SUMIFS(Данные!$D$2:$D$1001,Данные!$B$2:$B$1001,$A191,Данные!$C$2:$C$1001,"2023-09*")</f>
        <v>0</v>
      </c>
      <c r="C191" s="5">
        <f>SUMIFS(Данные!$D$2:$D$1001,Данные!$B$2:$B$1001,$A191,Данные!$C$2:$C$1001,"2023-10*")</f>
        <v>51443</v>
      </c>
      <c r="D191" s="5">
        <f>SUMIFS(Данные!$D$2:$D$1001,Данные!$B$2:$B$1001,$A191,Данные!$C$2:$C$1001,"2023-11*")</f>
        <v>18962</v>
      </c>
      <c r="E191" s="5">
        <f>SUMIFS(Данные!$D$2:$D$1001,Данные!$B$2:$B$1001,$A191,Данные!$C$2:$C$1001,"2023-12*")</f>
        <v>93896</v>
      </c>
      <c r="F191" s="5">
        <f>SUMIFS(Данные!$D$2:$D$1001,Данные!$B$2:$B$1001,$A191,Данные!$C$2:$C$1001,"2024-01*")</f>
        <v>96666</v>
      </c>
      <c r="G191" s="5">
        <f>SUMIFS(Данные!$D$2:$D$1001,Данные!$B$2:$B$1001,$A191,Данные!$C$2:$C$1001,"2024-02*")</f>
        <v>0</v>
      </c>
      <c r="H191" s="5">
        <f>SUMIFS(Данные!$D$2:$D$1001,Данные!$B$2:$B$1001,$A191,Данные!$C$2:$C$1001,"2024-03*")</f>
        <v>97231</v>
      </c>
      <c r="I191" s="5">
        <f>SUMIFS(Данные!$D$2:$D$1001,Данные!$B$2:$B$1001,$A191,Данные!$C$2:$C$1001,"2024-04*")</f>
        <v>0</v>
      </c>
      <c r="J191" s="5">
        <f>SUMIFS(Данные!$D$2:$D$1001,Данные!$B$2:$B$1001,$A191,Данные!$C$2:$C$1001,"2024-05*")</f>
        <v>0</v>
      </c>
      <c r="K191" s="5">
        <f>SUMIFS(Данные!$D$2:$D$1001,Данные!$B$2:$B$1001,$A191,Данные!$C$2:$C$1001,"2024-06*")</f>
        <v>36449</v>
      </c>
      <c r="L191" s="5">
        <f>SUMIFS(Данные!$D$2:$D$1001,Данные!$B$2:$B$1001,$A191,Данные!$C$2:$C$1001,"2024-07*")</f>
        <v>0</v>
      </c>
      <c r="M191" s="5">
        <f>SUMIFS(Данные!$D$2:$D$1001,Данные!$B$2:$B$1001,$A191,Данные!$C$2:$C$1001,"2024-08*")</f>
        <v>0</v>
      </c>
      <c r="N191" s="5">
        <f>SUMIFS(Данные!$D$2:$D$1001,Данные!$B$2:$B$1001,$A191,Данные!$C$2:$C$1001,"2024-09*")</f>
        <v>0</v>
      </c>
      <c r="O191" s="8" t="str">
        <f t="shared" si="17"/>
        <v>A</v>
      </c>
      <c r="P191" s="8" t="str">
        <f t="shared" si="18"/>
        <v>Z</v>
      </c>
      <c r="Q191" s="9">
        <f t="shared" si="19"/>
        <v>394647</v>
      </c>
    </row>
    <row r="192" spans="1:17" ht="14.25" customHeight="1" x14ac:dyDescent="0.25">
      <c r="A192" s="5" t="s">
        <v>242</v>
      </c>
      <c r="B192" s="5">
        <f>SUMIFS(Данные!$D$2:$D$1001,Данные!$B$2:$B$1001,$A192,Данные!$C$2:$C$1001,"2023-09*")</f>
        <v>0</v>
      </c>
      <c r="C192" s="5">
        <f>SUMIFS(Данные!$D$2:$D$1001,Данные!$B$2:$B$1001,$A192,Данные!$C$2:$C$1001,"2023-10*")</f>
        <v>0</v>
      </c>
      <c r="D192" s="5">
        <f>SUMIFS(Данные!$D$2:$D$1001,Данные!$B$2:$B$1001,$A192,Данные!$C$2:$C$1001,"2023-11*")</f>
        <v>0</v>
      </c>
      <c r="E192" s="5">
        <f>SUMIFS(Данные!$D$2:$D$1001,Данные!$B$2:$B$1001,$A192,Данные!$C$2:$C$1001,"2023-12*")</f>
        <v>39780</v>
      </c>
      <c r="F192" s="5">
        <f>SUMIFS(Данные!$D$2:$D$1001,Данные!$B$2:$B$1001,$A192,Данные!$C$2:$C$1001,"2024-01*")</f>
        <v>93806</v>
      </c>
      <c r="G192" s="5">
        <f>SUMIFS(Данные!$D$2:$D$1001,Данные!$B$2:$B$1001,$A192,Данные!$C$2:$C$1001,"2024-02*")</f>
        <v>61791</v>
      </c>
      <c r="H192" s="5">
        <f>SUMIFS(Данные!$D$2:$D$1001,Данные!$B$2:$B$1001,$A192,Данные!$C$2:$C$1001,"2024-03*")</f>
        <v>0</v>
      </c>
      <c r="I192" s="5">
        <f>SUMIFS(Данные!$D$2:$D$1001,Данные!$B$2:$B$1001,$A192,Данные!$C$2:$C$1001,"2024-04*")</f>
        <v>0</v>
      </c>
      <c r="J192" s="5">
        <f>SUMIFS(Данные!$D$2:$D$1001,Данные!$B$2:$B$1001,$A192,Данные!$C$2:$C$1001,"2024-05*")</f>
        <v>63454</v>
      </c>
      <c r="K192" s="5">
        <f>SUMIFS(Данные!$D$2:$D$1001,Данные!$B$2:$B$1001,$A192,Данные!$C$2:$C$1001,"2024-06*")</f>
        <v>0</v>
      </c>
      <c r="L192" s="5">
        <f>SUMIFS(Данные!$D$2:$D$1001,Данные!$B$2:$B$1001,$A192,Данные!$C$2:$C$1001,"2024-07*")</f>
        <v>13574</v>
      </c>
      <c r="M192" s="5">
        <f>SUMIFS(Данные!$D$2:$D$1001,Данные!$B$2:$B$1001,$A192,Данные!$C$2:$C$1001,"2024-08*")</f>
        <v>91955</v>
      </c>
      <c r="N192" s="5">
        <f>SUMIFS(Данные!$D$2:$D$1001,Данные!$B$2:$B$1001,$A192,Данные!$C$2:$C$1001,"2024-09*")</f>
        <v>0</v>
      </c>
      <c r="O192" s="8" t="str">
        <f t="shared" si="17"/>
        <v>A</v>
      </c>
      <c r="P192" s="8" t="str">
        <f t="shared" si="18"/>
        <v>Z</v>
      </c>
      <c r="Q192" s="9">
        <f t="shared" si="19"/>
        <v>364360</v>
      </c>
    </row>
    <row r="193" spans="1:21" ht="14.25" customHeight="1" x14ac:dyDescent="0.25">
      <c r="A193" s="5" t="s">
        <v>286</v>
      </c>
      <c r="B193" s="5">
        <f>SUMIFS(Данные!$D$2:$D$1001,Данные!$B$2:$B$1001,$A193,Данные!$C$2:$C$1001,"2023-09*")</f>
        <v>0</v>
      </c>
      <c r="C193" s="5">
        <f>SUMIFS(Данные!$D$2:$D$1001,Данные!$B$2:$B$1001,$A193,Данные!$C$2:$C$1001,"2023-10*")</f>
        <v>0</v>
      </c>
      <c r="D193" s="5">
        <f>SUMIFS(Данные!$D$2:$D$1001,Данные!$B$2:$B$1001,$A193,Данные!$C$2:$C$1001,"2023-11*")</f>
        <v>0</v>
      </c>
      <c r="E193" s="5">
        <f>SUMIFS(Данные!$D$2:$D$1001,Данные!$B$2:$B$1001,$A193,Данные!$C$2:$C$1001,"2023-12*")</f>
        <v>0</v>
      </c>
      <c r="F193" s="5">
        <f>SUMIFS(Данные!$D$2:$D$1001,Данные!$B$2:$B$1001,$A193,Данные!$C$2:$C$1001,"2024-01*")</f>
        <v>97810</v>
      </c>
      <c r="G193" s="5">
        <f>SUMIFS(Данные!$D$2:$D$1001,Данные!$B$2:$B$1001,$A193,Данные!$C$2:$C$1001,"2024-02*")</f>
        <v>0</v>
      </c>
      <c r="H193" s="5">
        <f>SUMIFS(Данные!$D$2:$D$1001,Данные!$B$2:$B$1001,$A193,Данные!$C$2:$C$1001,"2024-03*")</f>
        <v>0</v>
      </c>
      <c r="I193" s="5">
        <f>SUMIFS(Данные!$D$2:$D$1001,Данные!$B$2:$B$1001,$A193,Данные!$C$2:$C$1001,"2024-04*")</f>
        <v>0</v>
      </c>
      <c r="J193" s="5">
        <f>SUMIFS(Данные!$D$2:$D$1001,Данные!$B$2:$B$1001,$A193,Данные!$C$2:$C$1001,"2024-05*")</f>
        <v>0</v>
      </c>
      <c r="K193" s="5">
        <f>SUMIFS(Данные!$D$2:$D$1001,Данные!$B$2:$B$1001,$A193,Данные!$C$2:$C$1001,"2024-06*")</f>
        <v>37395</v>
      </c>
      <c r="L193" s="5">
        <f>SUMIFS(Данные!$D$2:$D$1001,Данные!$B$2:$B$1001,$A193,Данные!$C$2:$C$1001,"2024-07*")</f>
        <v>0</v>
      </c>
      <c r="M193" s="5">
        <f>SUMIFS(Данные!$D$2:$D$1001,Данные!$B$2:$B$1001,$A193,Данные!$C$2:$C$1001,"2024-08*")</f>
        <v>0</v>
      </c>
      <c r="N193" s="5">
        <f>SUMIFS(Данные!$D$2:$D$1001,Данные!$B$2:$B$1001,$A193,Данные!$C$2:$C$1001,"2024-09*")</f>
        <v>0</v>
      </c>
      <c r="O193" s="8" t="str">
        <f t="shared" si="17"/>
        <v>C</v>
      </c>
      <c r="P193" s="8" t="str">
        <f t="shared" si="18"/>
        <v>Z</v>
      </c>
      <c r="Q193" s="9">
        <f t="shared" si="19"/>
        <v>135205</v>
      </c>
    </row>
    <row r="194" spans="1:21" ht="14.25" customHeight="1" x14ac:dyDescent="0.25">
      <c r="A194" s="5" t="s">
        <v>38</v>
      </c>
      <c r="B194" s="5">
        <f>SUMIFS(Данные!$D$2:$D$1001,Данные!$B$2:$B$1001,$A194,Данные!$C$2:$C$1001,"2023-09*")</f>
        <v>87646</v>
      </c>
      <c r="C194" s="5">
        <f>SUMIFS(Данные!$D$2:$D$1001,Данные!$B$2:$B$1001,$A194,Данные!$C$2:$C$1001,"2023-10*")</f>
        <v>0</v>
      </c>
      <c r="D194" s="5">
        <f>SUMIFS(Данные!$D$2:$D$1001,Данные!$B$2:$B$1001,$A194,Данные!$C$2:$C$1001,"2023-11*")</f>
        <v>0</v>
      </c>
      <c r="E194" s="5">
        <f>SUMIFS(Данные!$D$2:$D$1001,Данные!$B$2:$B$1001,$A194,Данные!$C$2:$C$1001,"2023-12*")</f>
        <v>47399</v>
      </c>
      <c r="F194" s="5">
        <f>SUMIFS(Данные!$D$2:$D$1001,Данные!$B$2:$B$1001,$A194,Данные!$C$2:$C$1001,"2024-01*")</f>
        <v>83627</v>
      </c>
      <c r="G194" s="5">
        <f>SUMIFS(Данные!$D$2:$D$1001,Данные!$B$2:$B$1001,$A194,Данные!$C$2:$C$1001,"2024-02*")</f>
        <v>0</v>
      </c>
      <c r="H194" s="5">
        <f>SUMIFS(Данные!$D$2:$D$1001,Данные!$B$2:$B$1001,$A194,Данные!$C$2:$C$1001,"2024-03*")</f>
        <v>0</v>
      </c>
      <c r="I194" s="5">
        <f>SUMIFS(Данные!$D$2:$D$1001,Данные!$B$2:$B$1001,$A194,Данные!$C$2:$C$1001,"2024-04*")</f>
        <v>0</v>
      </c>
      <c r="J194" s="5">
        <f>SUMIFS(Данные!$D$2:$D$1001,Данные!$B$2:$B$1001,$A194,Данные!$C$2:$C$1001,"2024-05*")</f>
        <v>0</v>
      </c>
      <c r="K194" s="5">
        <f>SUMIFS(Данные!$D$2:$D$1001,Данные!$B$2:$B$1001,$A194,Данные!$C$2:$C$1001,"2024-06*")</f>
        <v>0</v>
      </c>
      <c r="L194" s="5">
        <f>SUMIFS(Данные!$D$2:$D$1001,Данные!$B$2:$B$1001,$A194,Данные!$C$2:$C$1001,"2024-07*")</f>
        <v>98135</v>
      </c>
      <c r="M194" s="5">
        <f>SUMIFS(Данные!$D$2:$D$1001,Данные!$B$2:$B$1001,$A194,Данные!$C$2:$C$1001,"2024-08*")</f>
        <v>0</v>
      </c>
      <c r="N194" s="5">
        <f>SUMIFS(Данные!$D$2:$D$1001,Данные!$B$2:$B$1001,$A194,Данные!$C$2:$C$1001,"2024-09*")</f>
        <v>0</v>
      </c>
      <c r="O194" s="8" t="str">
        <f t="shared" si="17"/>
        <v>A</v>
      </c>
      <c r="P194" s="8" t="str">
        <f t="shared" si="18"/>
        <v>Z</v>
      </c>
      <c r="Q194" s="9">
        <f t="shared" si="19"/>
        <v>316807</v>
      </c>
    </row>
    <row r="195" spans="1:21" ht="14.25" customHeight="1" x14ac:dyDescent="0.25">
      <c r="A195" s="5" t="s">
        <v>77</v>
      </c>
      <c r="B195" s="5">
        <f>SUMIFS(Данные!$D$2:$D$1001,Данные!$B$2:$B$1001,$A195,Данные!$C$2:$C$1001,"2023-09*")</f>
        <v>28718</v>
      </c>
      <c r="C195" s="5">
        <f>SUMIFS(Данные!$D$2:$D$1001,Данные!$B$2:$B$1001,$A195,Данные!$C$2:$C$1001,"2023-10*")</f>
        <v>0</v>
      </c>
      <c r="D195" s="5">
        <f>SUMIFS(Данные!$D$2:$D$1001,Данные!$B$2:$B$1001,$A195,Данные!$C$2:$C$1001,"2023-11*")</f>
        <v>63605</v>
      </c>
      <c r="E195" s="5">
        <f>SUMIFS(Данные!$D$2:$D$1001,Данные!$B$2:$B$1001,$A195,Данные!$C$2:$C$1001,"2023-12*")</f>
        <v>0</v>
      </c>
      <c r="F195" s="5">
        <f>SUMIFS(Данные!$D$2:$D$1001,Данные!$B$2:$B$1001,$A195,Данные!$C$2:$C$1001,"2024-01*")</f>
        <v>0</v>
      </c>
      <c r="G195" s="5">
        <f>SUMIFS(Данные!$D$2:$D$1001,Данные!$B$2:$B$1001,$A195,Данные!$C$2:$C$1001,"2024-02*")</f>
        <v>0</v>
      </c>
      <c r="H195" s="5">
        <f>SUMIFS(Данные!$D$2:$D$1001,Данные!$B$2:$B$1001,$A195,Данные!$C$2:$C$1001,"2024-03*")</f>
        <v>34933</v>
      </c>
      <c r="I195" s="5">
        <f>SUMIFS(Данные!$D$2:$D$1001,Данные!$B$2:$B$1001,$A195,Данные!$C$2:$C$1001,"2024-04*")</f>
        <v>40294</v>
      </c>
      <c r="J195" s="5">
        <f>SUMIFS(Данные!$D$2:$D$1001,Данные!$B$2:$B$1001,$A195,Данные!$C$2:$C$1001,"2024-05*")</f>
        <v>0</v>
      </c>
      <c r="K195" s="5">
        <f>SUMIFS(Данные!$D$2:$D$1001,Данные!$B$2:$B$1001,$A195,Данные!$C$2:$C$1001,"2024-06*")</f>
        <v>0</v>
      </c>
      <c r="L195" s="5">
        <f>SUMIFS(Данные!$D$2:$D$1001,Данные!$B$2:$B$1001,$A195,Данные!$C$2:$C$1001,"2024-07*")</f>
        <v>0</v>
      </c>
      <c r="M195" s="5">
        <f>SUMIFS(Данные!$D$2:$D$1001,Данные!$B$2:$B$1001,$A195,Данные!$C$2:$C$1001,"2024-08*")</f>
        <v>0</v>
      </c>
      <c r="N195" s="5">
        <f>SUMIFS(Данные!$D$2:$D$1001,Данные!$B$2:$B$1001,$A195,Данные!$C$2:$C$1001,"2024-09*")</f>
        <v>31497</v>
      </c>
      <c r="O195" s="8" t="str">
        <f t="shared" si="17"/>
        <v>B</v>
      </c>
      <c r="P195" s="8" t="str">
        <f t="shared" si="18"/>
        <v>Z</v>
      </c>
      <c r="Q195" s="9">
        <f t="shared" si="19"/>
        <v>199047</v>
      </c>
    </row>
    <row r="196" spans="1:21" ht="14.25" customHeight="1" x14ac:dyDescent="0.25">
      <c r="A196" s="5" t="s">
        <v>107</v>
      </c>
      <c r="B196" s="5">
        <f>SUMIFS(Данные!$D$2:$D$1001,Данные!$B$2:$B$1001,$A196,Данные!$C$2:$C$1001,"2023-09*")</f>
        <v>0</v>
      </c>
      <c r="C196" s="5">
        <f>SUMIFS(Данные!$D$2:$D$1001,Данные!$B$2:$B$1001,$A196,Данные!$C$2:$C$1001,"2023-10*")</f>
        <v>84484</v>
      </c>
      <c r="D196" s="5">
        <f>SUMIFS(Данные!$D$2:$D$1001,Данные!$B$2:$B$1001,$A196,Данные!$C$2:$C$1001,"2023-11*")</f>
        <v>0</v>
      </c>
      <c r="E196" s="5">
        <f>SUMIFS(Данные!$D$2:$D$1001,Данные!$B$2:$B$1001,$A196,Данные!$C$2:$C$1001,"2023-12*")</f>
        <v>0</v>
      </c>
      <c r="F196" s="5">
        <f>SUMIFS(Данные!$D$2:$D$1001,Данные!$B$2:$B$1001,$A196,Данные!$C$2:$C$1001,"2024-01*")</f>
        <v>0</v>
      </c>
      <c r="G196" s="5">
        <f>SUMIFS(Данные!$D$2:$D$1001,Данные!$B$2:$B$1001,$A196,Данные!$C$2:$C$1001,"2024-02*")</f>
        <v>0</v>
      </c>
      <c r="H196" s="5">
        <f>SUMIFS(Данные!$D$2:$D$1001,Данные!$B$2:$B$1001,$A196,Данные!$C$2:$C$1001,"2024-03*")</f>
        <v>0</v>
      </c>
      <c r="I196" s="5">
        <f>SUMIFS(Данные!$D$2:$D$1001,Данные!$B$2:$B$1001,$A196,Данные!$C$2:$C$1001,"2024-04*")</f>
        <v>0</v>
      </c>
      <c r="J196" s="5">
        <f>SUMIFS(Данные!$D$2:$D$1001,Данные!$B$2:$B$1001,$A196,Данные!$C$2:$C$1001,"2024-05*")</f>
        <v>0</v>
      </c>
      <c r="K196" s="5">
        <f>SUMIFS(Данные!$D$2:$D$1001,Данные!$B$2:$B$1001,$A196,Данные!$C$2:$C$1001,"2024-06*")</f>
        <v>0</v>
      </c>
      <c r="L196" s="5">
        <f>SUMIFS(Данные!$D$2:$D$1001,Данные!$B$2:$B$1001,$A196,Данные!$C$2:$C$1001,"2024-07*")</f>
        <v>0</v>
      </c>
      <c r="M196" s="5">
        <f>SUMIFS(Данные!$D$2:$D$1001,Данные!$B$2:$B$1001,$A196,Данные!$C$2:$C$1001,"2024-08*")</f>
        <v>0</v>
      </c>
      <c r="N196" s="5">
        <f>SUMIFS(Данные!$D$2:$D$1001,Данные!$B$2:$B$1001,$A196,Данные!$C$2:$C$1001,"2024-09*")</f>
        <v>0</v>
      </c>
      <c r="O196" s="8" t="str">
        <f t="shared" si="17"/>
        <v>C</v>
      </c>
      <c r="P196" s="8" t="str">
        <f t="shared" si="18"/>
        <v>Z</v>
      </c>
      <c r="Q196" s="9">
        <f t="shared" si="19"/>
        <v>84484</v>
      </c>
    </row>
    <row r="197" spans="1:21" ht="14.25" customHeight="1" x14ac:dyDescent="0.25">
      <c r="A197" s="5" t="s">
        <v>207</v>
      </c>
      <c r="B197" s="5">
        <f>SUMIFS(Данные!$D$2:$D$1001,Данные!$B$2:$B$1001,$A197,Данные!$C$2:$C$1001,"2023-09*")</f>
        <v>0</v>
      </c>
      <c r="C197" s="5">
        <f>SUMIFS(Данные!$D$2:$D$1001,Данные!$B$2:$B$1001,$A197,Данные!$C$2:$C$1001,"2023-10*")</f>
        <v>0</v>
      </c>
      <c r="D197" s="5">
        <f>SUMIFS(Данные!$D$2:$D$1001,Данные!$B$2:$B$1001,$A197,Данные!$C$2:$C$1001,"2023-11*")</f>
        <v>93784</v>
      </c>
      <c r="E197" s="5">
        <f>SUMIFS(Данные!$D$2:$D$1001,Данные!$B$2:$B$1001,$A197,Данные!$C$2:$C$1001,"2023-12*")</f>
        <v>0</v>
      </c>
      <c r="F197" s="5">
        <f>SUMIFS(Данные!$D$2:$D$1001,Данные!$B$2:$B$1001,$A197,Данные!$C$2:$C$1001,"2024-01*")</f>
        <v>77313</v>
      </c>
      <c r="G197" s="5">
        <f>SUMIFS(Данные!$D$2:$D$1001,Данные!$B$2:$B$1001,$A197,Данные!$C$2:$C$1001,"2024-02*")</f>
        <v>75912</v>
      </c>
      <c r="H197" s="5">
        <f>SUMIFS(Данные!$D$2:$D$1001,Данные!$B$2:$B$1001,$A197,Данные!$C$2:$C$1001,"2024-03*")</f>
        <v>0</v>
      </c>
      <c r="I197" s="5">
        <f>SUMIFS(Данные!$D$2:$D$1001,Данные!$B$2:$B$1001,$A197,Данные!$C$2:$C$1001,"2024-04*")</f>
        <v>0</v>
      </c>
      <c r="J197" s="5">
        <f>SUMIFS(Данные!$D$2:$D$1001,Данные!$B$2:$B$1001,$A197,Данные!$C$2:$C$1001,"2024-05*")</f>
        <v>0</v>
      </c>
      <c r="K197" s="5">
        <f>SUMIFS(Данные!$D$2:$D$1001,Данные!$B$2:$B$1001,$A197,Данные!$C$2:$C$1001,"2024-06*")</f>
        <v>0</v>
      </c>
      <c r="L197" s="5">
        <f>SUMIFS(Данные!$D$2:$D$1001,Данные!$B$2:$B$1001,$A197,Данные!$C$2:$C$1001,"2024-07*")</f>
        <v>0</v>
      </c>
      <c r="M197" s="5">
        <f>SUMIFS(Данные!$D$2:$D$1001,Данные!$B$2:$B$1001,$A197,Данные!$C$2:$C$1001,"2024-08*")</f>
        <v>0</v>
      </c>
      <c r="N197" s="5">
        <f>SUMIFS(Данные!$D$2:$D$1001,Данные!$B$2:$B$1001,$A197,Данные!$C$2:$C$1001,"2024-09*")</f>
        <v>0</v>
      </c>
      <c r="O197" s="8" t="str">
        <f t="shared" si="17"/>
        <v>A</v>
      </c>
      <c r="P197" s="8" t="str">
        <f t="shared" si="18"/>
        <v>Z</v>
      </c>
      <c r="Q197" s="9">
        <f t="shared" si="19"/>
        <v>247009</v>
      </c>
    </row>
    <row r="198" spans="1:21" ht="14.25" customHeight="1" x14ac:dyDescent="0.25">
      <c r="A198" s="5" t="s">
        <v>246</v>
      </c>
      <c r="B198" s="5">
        <f>SUMIFS(Данные!$D$2:$D$1001,Данные!$B$2:$B$1001,$A198,Данные!$C$2:$C$1001,"2023-09*")</f>
        <v>0</v>
      </c>
      <c r="C198" s="5">
        <f>SUMIFS(Данные!$D$2:$D$1001,Данные!$B$2:$B$1001,$A198,Данные!$C$2:$C$1001,"2023-10*")</f>
        <v>0</v>
      </c>
      <c r="D198" s="5">
        <f>SUMIFS(Данные!$D$2:$D$1001,Данные!$B$2:$B$1001,$A198,Данные!$C$2:$C$1001,"2023-11*")</f>
        <v>0</v>
      </c>
      <c r="E198" s="5">
        <f>SUMIFS(Данные!$D$2:$D$1001,Данные!$B$2:$B$1001,$A198,Данные!$C$2:$C$1001,"2023-12*")</f>
        <v>97808</v>
      </c>
      <c r="F198" s="5">
        <f>SUMIFS(Данные!$D$2:$D$1001,Данные!$B$2:$B$1001,$A198,Данные!$C$2:$C$1001,"2024-01*")</f>
        <v>52903</v>
      </c>
      <c r="G198" s="5">
        <f>SUMIFS(Данные!$D$2:$D$1001,Данные!$B$2:$B$1001,$A198,Данные!$C$2:$C$1001,"2024-02*")</f>
        <v>0</v>
      </c>
      <c r="H198" s="5">
        <f>SUMIFS(Данные!$D$2:$D$1001,Данные!$B$2:$B$1001,$A198,Данные!$C$2:$C$1001,"2024-03*")</f>
        <v>42091</v>
      </c>
      <c r="I198" s="5">
        <f>SUMIFS(Данные!$D$2:$D$1001,Данные!$B$2:$B$1001,$A198,Данные!$C$2:$C$1001,"2024-04*")</f>
        <v>0</v>
      </c>
      <c r="J198" s="5">
        <f>SUMIFS(Данные!$D$2:$D$1001,Данные!$B$2:$B$1001,$A198,Данные!$C$2:$C$1001,"2024-05*")</f>
        <v>0</v>
      </c>
      <c r="K198" s="5">
        <f>SUMIFS(Данные!$D$2:$D$1001,Данные!$B$2:$B$1001,$A198,Данные!$C$2:$C$1001,"2024-06*")</f>
        <v>0</v>
      </c>
      <c r="L198" s="5">
        <f>SUMIFS(Данные!$D$2:$D$1001,Данные!$B$2:$B$1001,$A198,Данные!$C$2:$C$1001,"2024-07*")</f>
        <v>0</v>
      </c>
      <c r="M198" s="5">
        <f>SUMIFS(Данные!$D$2:$D$1001,Данные!$B$2:$B$1001,$A198,Данные!$C$2:$C$1001,"2024-08*")</f>
        <v>0</v>
      </c>
      <c r="N198" s="5">
        <f>SUMIFS(Данные!$D$2:$D$1001,Данные!$B$2:$B$1001,$A198,Данные!$C$2:$C$1001,"2024-09*")</f>
        <v>0</v>
      </c>
      <c r="O198" s="8" t="str">
        <f t="shared" si="17"/>
        <v>B</v>
      </c>
      <c r="P198" s="8" t="str">
        <f t="shared" si="18"/>
        <v>Z</v>
      </c>
      <c r="Q198" s="9">
        <f t="shared" si="19"/>
        <v>192802</v>
      </c>
    </row>
    <row r="200" spans="1:21" ht="14.25" customHeight="1" x14ac:dyDescent="0.25">
      <c r="R200" s="1" t="s">
        <v>486</v>
      </c>
      <c r="S200" s="1"/>
      <c r="T200" s="1"/>
      <c r="U200" s="1"/>
    </row>
    <row r="201" spans="1:21" ht="14.25" customHeight="1" x14ac:dyDescent="0.25">
      <c r="R201" s="1" t="s">
        <v>487</v>
      </c>
      <c r="S201" s="1"/>
      <c r="T201" s="1"/>
      <c r="U201" s="1"/>
    </row>
    <row r="202" spans="1:21" ht="14.25" customHeight="1" x14ac:dyDescent="0.25">
      <c r="R202" s="5"/>
      <c r="S202" s="5" t="s">
        <v>488</v>
      </c>
      <c r="T202" s="5" t="s">
        <v>489</v>
      </c>
      <c r="U202" s="5" t="s">
        <v>490</v>
      </c>
    </row>
    <row r="203" spans="1:21" ht="14.25" customHeight="1" x14ac:dyDescent="0.25">
      <c r="R203" s="5" t="s">
        <v>491</v>
      </c>
      <c r="S203" s="5">
        <f t="shared" ref="S203:U205" si="20">COUNTIFS($O$2:$O$198,$R203,$P$2:$P$198,S$202)</f>
        <v>0</v>
      </c>
      <c r="T203" s="5">
        <f t="shared" si="20"/>
        <v>0</v>
      </c>
      <c r="U203" s="5">
        <f t="shared" si="20"/>
        <v>121</v>
      </c>
    </row>
    <row r="204" spans="1:21" ht="14.25" customHeight="1" x14ac:dyDescent="0.25">
      <c r="R204" s="5" t="s">
        <v>492</v>
      </c>
      <c r="S204" s="5">
        <f t="shared" si="20"/>
        <v>0</v>
      </c>
      <c r="T204" s="5">
        <f t="shared" si="20"/>
        <v>0</v>
      </c>
      <c r="U204" s="5">
        <f t="shared" si="20"/>
        <v>44</v>
      </c>
    </row>
    <row r="205" spans="1:21" ht="14.25" customHeight="1" x14ac:dyDescent="0.25">
      <c r="R205" s="5" t="s">
        <v>493</v>
      </c>
      <c r="S205" s="5">
        <f t="shared" si="20"/>
        <v>0</v>
      </c>
      <c r="T205" s="5">
        <f t="shared" si="20"/>
        <v>0</v>
      </c>
      <c r="U205" s="5">
        <f t="shared" si="20"/>
        <v>32</v>
      </c>
    </row>
    <row r="206" spans="1:21" ht="14.25" customHeight="1" x14ac:dyDescent="0.25">
      <c r="R206" s="1"/>
      <c r="S206" s="1"/>
      <c r="T206" s="1"/>
      <c r="U206" s="1"/>
    </row>
    <row r="207" spans="1:21" ht="14.25" customHeight="1" x14ac:dyDescent="0.25">
      <c r="R207" s="1" t="s">
        <v>494</v>
      </c>
      <c r="S207" s="1"/>
      <c r="T207" s="1"/>
      <c r="U207" s="1"/>
    </row>
    <row r="208" spans="1:21" ht="14.25" customHeight="1" x14ac:dyDescent="0.25">
      <c r="R208" s="5"/>
      <c r="S208" s="5" t="s">
        <v>488</v>
      </c>
      <c r="T208" s="5" t="s">
        <v>489</v>
      </c>
      <c r="U208" s="5" t="s">
        <v>490</v>
      </c>
    </row>
    <row r="209" spans="18:21" ht="14.25" customHeight="1" x14ac:dyDescent="0.25">
      <c r="R209" s="5" t="s">
        <v>491</v>
      </c>
      <c r="S209" s="5">
        <f t="shared" ref="S209:U211" si="21">SUMIFS($Q$2:$Q$198,$O$2:$O$198,$R203,$P$2:$P$198,S$208)</f>
        <v>0</v>
      </c>
      <c r="T209" s="5">
        <f t="shared" si="21"/>
        <v>0</v>
      </c>
      <c r="U209" s="5">
        <f t="shared" si="21"/>
        <v>43830603</v>
      </c>
    </row>
    <row r="210" spans="18:21" ht="14.25" customHeight="1" x14ac:dyDescent="0.25">
      <c r="R210" s="5" t="s">
        <v>492</v>
      </c>
      <c r="S210" s="5">
        <f t="shared" si="21"/>
        <v>0</v>
      </c>
      <c r="T210" s="5">
        <f t="shared" si="21"/>
        <v>0</v>
      </c>
      <c r="U210" s="5">
        <f t="shared" si="21"/>
        <v>8346522</v>
      </c>
    </row>
    <row r="211" spans="18:21" ht="14.25" customHeight="1" x14ac:dyDescent="0.25">
      <c r="R211" s="5" t="s">
        <v>493</v>
      </c>
      <c r="S211" s="5">
        <f t="shared" si="21"/>
        <v>0</v>
      </c>
      <c r="T211" s="5">
        <f t="shared" si="21"/>
        <v>0</v>
      </c>
      <c r="U211" s="5">
        <f t="shared" si="21"/>
        <v>2758788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bublg</cp:lastModifiedBy>
  <cp:revision>0</cp:revision>
  <dcterms:created xsi:type="dcterms:W3CDTF">2025-11-13T20:18:20Z</dcterms:created>
  <dcterms:modified xsi:type="dcterms:W3CDTF">2026-10-04T11:50:23Z</dcterms:modified>
  <dc:language>en-US</dc:language>
</cp:coreProperties>
</file>