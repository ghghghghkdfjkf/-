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855" firstSheet="21" activeTab="29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<sst xmlns="http://schemas.openxmlformats.org/spreadsheetml/2006/main" count="573" uniqueCount="405">
  <si>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</si>
  <si>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</si>
  <si>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</si>
  <si>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</si>
  <si>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</si>
  <si>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</si>
  <si>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</si>
  <si>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</si>
  <si>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</si>
  <si>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</si>
  <si>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</si>
  <si>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</si>
  <si>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</si>
  <si>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</si>
  <si>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</si>
  <si>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</si>
  <si>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</si>
  <si>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</si>
  <si>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</si>
  <si>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</si>
  <si>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</si>
  <si>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</si>
  <si>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</si>
  <si>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</si>
  <si>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</si>
  <si>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</si>
  <si>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</si>
  <si>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</si>
  <si>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</si>
  <si>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</si>
  <si>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</si>
  <si>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</si>
  <si>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</si>
  <si>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</si>
  <si>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</si>
  <si>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</si>
  <si>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</si>
  <si>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</si>
  <si>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</si>
  <si>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</si>
  <si>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</si>
  <si>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</si>
  <si>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</si>
  <si>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</si>
  <si>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</si>
  <si>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</si>
  <si>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</si>
  <si>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</si>
  <si>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</si>
  <si>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</si>
  <si>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</si>
  <si>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</si>
  <si>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</si>
  <si>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</si>
  <si>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</si>
  <si>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</si>
  <si>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</si>
  <si>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</si>
  <si>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</si>
  <si>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</si>
  <si>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</si>
  <si>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</si>
  <si>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</si>
  <si>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</si>
  <si>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</si>
  <si>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</si>
  <si>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</si>
  <si>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</si>
  <si>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</si>
  <si>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</si>
  <si>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</si>
  <si>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</si>
  <si>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</si>
  <si>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</si>
  <si>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</si>
  <si>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</si>
  <si>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</si>
  <si>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</si>
  <si>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</si>
  <si>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</si>
  <si>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</si>
  <si>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</si>
  <si>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</si>
  <si>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</si>
  <si>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</si>
  <si>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</si>
  <si>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</si>
  <si>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</si>
  <si>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</si>
  <si>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</si>
  <si>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</si>
  <si>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</si>
  <si>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</si>
  <si>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</si>
  <si>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</si>
  <si>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</si>
  <si>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</si>
  <si>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</si>
  <si>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</si>
  <si>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</si>
  <si>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</si>
  <si>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</si>
  <si>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</si>
  <si>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</si>
  <si>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</si>
  <si>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</si>
  <si>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</si>
  <si>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</si>
  <si>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</si>
  <si>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</si>
  <si>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</si>
  <si>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</si>
  <si>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</si>
  <si>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</si>
  <si>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</si>
  <si>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</si>
  <si>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</si>
  <si>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</si>
  <si>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</si>
  <si>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</si>
  <si>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</si>
  <si>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</si>
  <si>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</si>
  <si>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</si>
  <si>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</si>
  <si>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</si>
  <si>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</si>
  <si>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</si>
  <si>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</si>
  <si>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</si>
  <si>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</si>
  <si>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</si>
  <si>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</si>
  <si>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</si>
  <si>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</si>
  <si>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</si>
  <si>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</si>
  <si>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</si>
  <si>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</si>
  <si>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</si>
  <si>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</si>
  <si>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</si>
  <si>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</si>
  <si>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</si>
  <si>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</si>
  <si>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</si>
  <si>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</si>
  <si>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</si>
  <si>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</si>
  <si>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</si>
  <si>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</si>
  <si>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</si>
  <si>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</si>
  <si>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</si>
  <si>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</si>
  <si>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</si>
  <si>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</si>
  <si>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</si>
  <si>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</si>
  <si>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</si>
  <si>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</si>
  <si>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</si>
  <si>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</si>
  <si>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</si>
  <si>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</si>
  <si>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</si>
  <si>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</si>
  <si>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</si>
  <si>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</si>
  <si>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</si>
  <si>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</si>
  <si>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</si>
  <si>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</si>
  <si>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</si>
  <si>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</si>
  <si>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</si>
  <si>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</si>
  <si>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</si>
  <si>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</si>
  <si>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</si>
  <si>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</si>
  <si>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</si>
  <si>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</si>
  <si>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</si>
  <si>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</si>
  <si>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</si>
  <si>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</si>
  <si>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</si>
  <si>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</si>
  <si>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</si>
  <si>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</si>
  <si>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</si>
  <si>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</si>
  <si>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</si>
  <si>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</si>
  <si>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</si>
  <si>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rFont val="Calibri"/>
        <charset val="134"/>
        <scheme val="minor"/>
      </rPr>
      <t>С</t>
    </r>
    <r>
      <rPr>
        <sz val="11"/>
        <color theme="1"/>
        <rFont val="Calibri"/>
        <charset val="134"/>
        <scheme val="minor"/>
      </rPr>
      <t>уббота</t>
    </r>
  </si>
  <si>
    <t>// результат - номер символа</t>
  </si>
  <si>
    <t>б</t>
  </si>
  <si>
    <r>
      <rPr>
        <sz val="11"/>
        <color theme="1"/>
        <rFont val="Calibri"/>
        <charset val="134"/>
        <scheme val="minor"/>
      </rPr>
      <t>Су</t>
    </r>
    <r>
      <rPr>
        <b/>
        <sz val="11"/>
        <color theme="1"/>
        <rFont val="Calibri"/>
        <charset val="134"/>
        <scheme val="minor"/>
      </rPr>
      <t>б</t>
    </r>
    <r>
      <rPr>
        <sz val="11"/>
        <color theme="1"/>
        <rFont val="Calibri"/>
        <charset val="134"/>
        <scheme val="minor"/>
      </rPr>
      <t>бота</t>
    </r>
  </si>
  <si>
    <t>// выдает 1ое вхождение</t>
  </si>
  <si>
    <t>та</t>
  </si>
  <si>
    <r>
      <rPr>
        <sz val="11"/>
        <color theme="1"/>
        <rFont val="Calibri"/>
        <charset val="134"/>
        <scheme val="minor"/>
      </rPr>
      <t>Суббо</t>
    </r>
    <r>
      <rPr>
        <b/>
        <sz val="11"/>
        <color theme="1"/>
        <rFont val="Calibri"/>
        <charset val="134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</si>
  <si>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</si>
  <si>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</si>
  <si>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 xml:space="preserve">ерпенье и </t>
    </r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</si>
  <si>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</si>
  <si>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</si>
  <si>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</si>
  <si>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</si>
  <si>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</si>
  <si>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</si>
  <si>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charset val="134"/>
        <scheme val="minor"/>
      </rPr>
      <t>Тер</t>
    </r>
    <r>
      <rPr>
        <sz val="11"/>
        <color theme="1"/>
        <rFont val="Calibri"/>
        <charset val="134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</si>
  <si>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</si>
  <si>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</si>
  <si>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</si>
  <si>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rPr>
        <sz val="11"/>
        <color theme="1"/>
        <rFont val="Calibri"/>
        <charset val="134"/>
        <scheme val="minor"/>
      </rPr>
      <t>Статус</t>
    </r>
    <r>
      <rPr>
        <b/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 xml:space="preserve"> готово</t>
    </r>
  </si>
  <si>
    <t>// знаки препинания считаются</t>
  </si>
  <si>
    <t>-</t>
  </si>
  <si>
    <r>
      <rPr>
        <sz val="11"/>
        <color theme="1"/>
        <rFont val="Calibri"/>
        <charset val="134"/>
        <scheme val="minor"/>
      </rPr>
      <t>909</t>
    </r>
    <r>
      <rPr>
        <b/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</si>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</sst>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.0"/>
    <numFmt numFmtId="181" formatCode="#\ ##0"/>
    <numFmt numFmtId="182" formatCode="dd\.mm\.yyyy"/>
    <numFmt numFmtId="183" formatCode="0.0"/>
    <numFmt numFmtId="184" formatCode="#\ ##0\ &quot;₽&quot;"/>
    <numFmt numFmtId="185" formatCode="dd/mm/yy\ h:mm;@"/>
    <numFmt numFmtId="186" formatCode="#\ ##0.00\ &quot;₽&quot;"/>
    <numFmt numFmtId="187" formatCode="0.00000000000000000000"/>
    <numFmt numFmtId="188" formatCode="0.0000000"/>
    <numFmt numFmtId="189" formatCode="0_ "/>
    <numFmt numFmtId="190" formatCode="0.0_ "/>
    <numFmt numFmtId="191" formatCode="0.00_ "/>
    <numFmt numFmtId="192" formatCode="0.000"/>
    <numFmt numFmtId="193" formatCode="dd/mm/yy;@"/>
  </numFmts>
  <fonts count="3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6E40"/>
      <name val="Calibri"/>
      <charset val="134"/>
      <scheme val="minor"/>
    </font>
    <font>
      <sz val="11"/>
      <color theme="0" tint="-0.499984740745262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b/>
      <sz val="11"/>
      <color rgb="FFFF6E40"/>
      <name val="Calibri"/>
      <charset val="134"/>
      <scheme val="minor"/>
    </font>
    <font>
      <sz val="12"/>
      <color theme="1"/>
      <name val="Calibri"/>
      <charset val="204"/>
      <scheme val="minor"/>
    </font>
    <font>
      <sz val="12"/>
      <color rgb="FFFF6E40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9"/>
      <color theme="1"/>
      <name val="Calibri"/>
      <charset val="204"/>
      <scheme val="minor"/>
    </font>
    <font>
      <sz val="10"/>
      <color theme="1"/>
      <name val="Arial Narrow"/>
      <charset val="204"/>
    </font>
    <font>
      <sz val="14"/>
      <color theme="1"/>
      <name val="Arial Black"/>
      <charset val="20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589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4" fillId="6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0" fillId="0" borderId="0"/>
    <xf numFmtId="0" fontId="10" fillId="0" borderId="0"/>
  </cellStyleXfs>
  <cellXfs count="9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180" fontId="0" fillId="0" borderId="1" xfId="0" applyNumberFormat="1" applyBorder="1"/>
    <xf numFmtId="181" fontId="0" fillId="3" borderId="1" xfId="0" applyNumberFormat="1" applyFill="1" applyBorder="1"/>
    <xf numFmtId="0" fontId="4" fillId="0" borderId="0" xfId="0" applyFont="1"/>
    <xf numFmtId="0" fontId="0" fillId="0" borderId="1" xfId="0" applyFont="1" applyBorder="1"/>
    <xf numFmtId="182" fontId="0" fillId="0" borderId="0" xfId="0" applyNumberFormat="1"/>
    <xf numFmtId="0" fontId="5" fillId="0" borderId="0" xfId="6"/>
    <xf numFmtId="0" fontId="6" fillId="0" borderId="0" xfId="0" applyFont="1" applyAlignment="1">
      <alignment horizontal="center"/>
    </xf>
    <xf numFmtId="181" fontId="0" fillId="0" borderId="1" xfId="0" applyNumberFormat="1" applyBorder="1"/>
    <xf numFmtId="183" fontId="7" fillId="3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84" fontId="0" fillId="0" borderId="1" xfId="0" applyNumberFormat="1" applyBorder="1"/>
    <xf numFmtId="0" fontId="4" fillId="0" borderId="0" xfId="0" applyFont="1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184" fontId="0" fillId="3" borderId="1" xfId="0" applyNumberFormat="1" applyFill="1" applyBorder="1"/>
    <xf numFmtId="18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5" borderId="1" xfId="0" applyFill="1" applyBorder="1"/>
    <xf numFmtId="181" fontId="0" fillId="5" borderId="1" xfId="0" applyNumberFormat="1" applyFill="1" applyBorder="1"/>
    <xf numFmtId="0" fontId="1" fillId="0" borderId="0" xfId="0" applyFont="1" applyAlignment="1">
      <alignment horizontal="left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8" fillId="0" borderId="0" xfId="0" applyFont="1"/>
    <xf numFmtId="9" fontId="0" fillId="0" borderId="1" xfId="3" applyFont="1" applyBorder="1"/>
    <xf numFmtId="182" fontId="0" fillId="0" borderId="1" xfId="0" applyNumberFormat="1" applyBorder="1"/>
    <xf numFmtId="185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5" fontId="0" fillId="0" borderId="1" xfId="0" applyNumberFormat="1" applyBorder="1"/>
    <xf numFmtId="9" fontId="0" fillId="0" borderId="1" xfId="0" applyNumberFormat="1" applyBorder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2" fontId="0" fillId="3" borderId="1" xfId="0" applyNumberFormat="1" applyFill="1" applyBorder="1"/>
    <xf numFmtId="186" fontId="0" fillId="0" borderId="1" xfId="0" applyNumberFormat="1" applyBorder="1"/>
    <xf numFmtId="2" fontId="0" fillId="0" borderId="1" xfId="0" applyNumberFormat="1" applyBorder="1"/>
    <xf numFmtId="187" fontId="0" fillId="0" borderId="0" xfId="0" applyNumberFormat="1"/>
    <xf numFmtId="188" fontId="0" fillId="0" borderId="1" xfId="0" applyNumberFormat="1" applyBorder="1"/>
    <xf numFmtId="0" fontId="4" fillId="0" borderId="1" xfId="0" applyFont="1" applyBorder="1"/>
    <xf numFmtId="0" fontId="0" fillId="0" borderId="0" xfId="0" applyFont="1"/>
    <xf numFmtId="184" fontId="0" fillId="0" borderId="1" xfId="0" applyNumberFormat="1" applyFont="1" applyBorder="1"/>
    <xf numFmtId="0" fontId="2" fillId="4" borderId="1" xfId="0" applyFont="1" applyFill="1" applyBorder="1" applyAlignment="1">
      <alignment horizontal="left" vertical="center"/>
    </xf>
    <xf numFmtId="1" fontId="0" fillId="5" borderId="1" xfId="0" applyNumberFormat="1" applyFill="1" applyBorder="1"/>
    <xf numFmtId="182" fontId="0" fillId="3" borderId="1" xfId="0" applyNumberFormat="1" applyFill="1" applyBorder="1"/>
    <xf numFmtId="0" fontId="10" fillId="0" borderId="0" xfId="51"/>
    <xf numFmtId="0" fontId="1" fillId="0" borderId="0" xfId="51" applyFont="1"/>
    <xf numFmtId="0" fontId="1" fillId="0" borderId="0" xfId="51" applyFont="1" applyAlignment="1">
      <alignment horizontal="center"/>
    </xf>
    <xf numFmtId="0" fontId="1" fillId="0" borderId="0" xfId="51" applyFont="1" applyAlignment="1">
      <alignment horizontal="right"/>
    </xf>
    <xf numFmtId="0" fontId="4" fillId="0" borderId="0" xfId="51" applyFont="1"/>
    <xf numFmtId="0" fontId="2" fillId="2" borderId="1" xfId="51" applyFont="1" applyFill="1" applyBorder="1" applyAlignment="1">
      <alignment horizontal="center" vertical="center"/>
    </xf>
    <xf numFmtId="0" fontId="2" fillId="2" borderId="5" xfId="51" applyFont="1" applyFill="1" applyBorder="1" applyAlignment="1">
      <alignment horizontal="center" vertical="center"/>
    </xf>
    <xf numFmtId="0" fontId="10" fillId="0" borderId="1" xfId="51" applyBorder="1"/>
    <xf numFmtId="2" fontId="10" fillId="3" borderId="1" xfId="51" applyNumberFormat="1" applyFill="1" applyBorder="1"/>
    <xf numFmtId="1" fontId="10" fillId="0" borderId="1" xfId="51" applyNumberFormat="1" applyBorder="1"/>
    <xf numFmtId="182" fontId="11" fillId="0" borderId="1" xfId="51" applyNumberFormat="1" applyFont="1" applyBorder="1"/>
    <xf numFmtId="20" fontId="10" fillId="0" borderId="1" xfId="51" applyNumberFormat="1" applyBorder="1"/>
    <xf numFmtId="0" fontId="5" fillId="0" borderId="0" xfId="49"/>
    <xf numFmtId="0" fontId="10" fillId="0" borderId="0" xfId="50"/>
    <xf numFmtId="0" fontId="1" fillId="0" borderId="0" xfId="50" applyFont="1"/>
    <xf numFmtId="0" fontId="1" fillId="0" borderId="0" xfId="50" applyFont="1" applyAlignment="1">
      <alignment horizontal="left"/>
    </xf>
    <xf numFmtId="0" fontId="10" fillId="0" borderId="0" xfId="50" applyAlignment="1">
      <alignment horizontal="left"/>
    </xf>
    <xf numFmtId="0" fontId="1" fillId="0" borderId="0" xfId="50" applyFont="1" applyAlignment="1">
      <alignment horizontal="right"/>
    </xf>
    <xf numFmtId="0" fontId="4" fillId="0" borderId="0" xfId="50" applyFont="1"/>
    <xf numFmtId="0" fontId="2" fillId="2" borderId="1" xfId="50" applyFont="1" applyFill="1" applyBorder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10" fillId="0" borderId="1" xfId="50" applyBorder="1"/>
    <xf numFmtId="1" fontId="10" fillId="0" borderId="1" xfId="50" applyNumberFormat="1" applyBorder="1"/>
    <xf numFmtId="1" fontId="10" fillId="3" borderId="1" xfId="50" applyNumberFormat="1" applyFill="1" applyBorder="1"/>
    <xf numFmtId="183" fontId="10" fillId="0" borderId="1" xfId="50" applyNumberFormat="1" applyBorder="1"/>
    <xf numFmtId="183" fontId="10" fillId="3" borderId="1" xfId="50" applyNumberFormat="1" applyFill="1" applyBorder="1"/>
    <xf numFmtId="182" fontId="11" fillId="0" borderId="1" xfId="50" applyNumberFormat="1" applyFont="1" applyBorder="1"/>
    <xf numFmtId="182" fontId="10" fillId="3" borderId="1" xfId="50" applyNumberFormat="1" applyFill="1" applyBorder="1"/>
    <xf numFmtId="20" fontId="10" fillId="0" borderId="1" xfId="50" applyNumberFormat="1" applyBorder="1"/>
    <xf numFmtId="20" fontId="10" fillId="3" borderId="1" xfId="50" applyNumberFormat="1" applyFill="1" applyBorder="1"/>
    <xf numFmtId="0" fontId="10" fillId="3" borderId="1" xfId="50" applyNumberFormat="1" applyFill="1" applyBorder="1"/>
    <xf numFmtId="183" fontId="10" fillId="0" borderId="0" xfId="50" applyNumberFormat="1"/>
    <xf numFmtId="0" fontId="1" fillId="0" borderId="0" xfId="0" applyFont="1" applyAlignment="1">
      <alignment horizontal="left" indent="1"/>
    </xf>
    <xf numFmtId="189" fontId="0" fillId="3" borderId="1" xfId="0" applyNumberFormat="1" applyFill="1" applyBorder="1"/>
    <xf numFmtId="190" fontId="0" fillId="3" borderId="1" xfId="0" applyNumberFormat="1" applyFill="1" applyBorder="1"/>
    <xf numFmtId="191" fontId="0" fillId="3" borderId="1" xfId="0" applyNumberFormat="1" applyFill="1" applyBorder="1"/>
    <xf numFmtId="192" fontId="0" fillId="0" borderId="1" xfId="0" applyNumberFormat="1" applyBorder="1"/>
    <xf numFmtId="22" fontId="0" fillId="0" borderId="0" xfId="0" applyNumberFormat="1"/>
    <xf numFmtId="185" fontId="0" fillId="3" borderId="1" xfId="0" applyNumberFormat="1" applyFill="1" applyBorder="1"/>
    <xf numFmtId="18" fontId="0" fillId="3" borderId="1" xfId="0" applyNumberFormat="1" applyFill="1" applyBorder="1"/>
    <xf numFmtId="193" fontId="0" fillId="0" borderId="0" xfId="0" applyNumberForma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2" fillId="2" borderId="1" xfId="0" applyFont="1" applyFill="1" applyBorder="1" applyAlignment="1">
      <alignment horizontal="center"/>
    </xf>
    <xf numFmtId="182" fontId="0" fillId="0" borderId="1" xfId="0" applyNumberFormat="1" applyBorder="1" quotePrefix="1"/>
    <xf numFmtId="185" fontId="0" fillId="0" borderId="1" xfId="0" applyNumberFormat="1" applyBorder="1" quotePrefix="1"/>
    <xf numFmtId="22" fontId="0" fillId="0" borderId="0" xfId="0" applyNumberFormat="1" quotePrefix="1"/>
    <xf numFmtId="181" fontId="0" fillId="0" borderId="1" xfId="0" applyNumberFormat="1" applyBorder="1" quotePrefix="1"/>
    <xf numFmtId="0" fontId="4" fillId="0" borderId="0" xfId="0" applyFont="1" quotePrefix="1"/>
    <xf numFmtId="184" fontId="0" fillId="0" borderId="1" xfId="0" applyNumberFormat="1" applyBorder="1" quotePrefix="1"/>
    <xf numFmtId="0" fontId="0" fillId="0" borderId="1" xfId="0" applyBorder="1" quotePrefix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Гиперссылка 2" xfId="49"/>
    <cellStyle name="Обычный 2" xfId="50"/>
    <cellStyle name="Обычный 3" xfId="51"/>
  </cellStyles>
  <dxfs count="1">
    <dxf>
      <fill>
        <patternFill patternType="solid">
          <bgColor theme="5" tint="0.799981688894314"/>
        </patternFill>
      </fill>
    </dxf>
  </dxfs>
  <tableStyles count="0" defaultTableStyle="TableStyleMedium2" defaultPivotStyle="PivotStyleMedium9"/>
  <colors>
    <mruColors>
      <color rgb="00DDDDDD"/>
      <color rgb="00E258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>
      <xdr:nvSpPr>
        <xdr:cNvPr id="3" name="Прямоугольник: скругленные углы 1"/>
        <xdr:cNvSpPr/>
      </xdr:nvSpPr>
      <xdr:spPr>
        <a:xfrm>
          <a:off x="0" y="617220"/>
          <a:ext cx="2446655" cy="129540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>
      <xdr:nvSpPr>
        <xdr:cNvPr id="5" name="Скругленный прямоугольник 4"/>
        <xdr:cNvSpPr/>
      </xdr:nvSpPr>
      <xdr:spPr>
        <a:xfrm>
          <a:off x="23495" y="1905"/>
          <a:ext cx="520065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>
      <xdr:nvSpPr>
        <xdr:cNvPr id="2" name="Прямоугольник: скругленные углы 1"/>
        <xdr:cNvSpPr/>
      </xdr:nvSpPr>
      <xdr:spPr>
        <a:xfrm>
          <a:off x="5181600" y="632460"/>
          <a:ext cx="323850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>
      <xdr:nvSpPr>
        <xdr:cNvPr id="4" name="Скругленный прямоугольник 3"/>
        <xdr:cNvSpPr/>
      </xdr:nvSpPr>
      <xdr:spPr>
        <a:xfrm>
          <a:off x="26035" y="6350"/>
          <a:ext cx="520065" cy="17843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>
      <xdr:nvSpPr>
        <xdr:cNvPr id="2" name="Прямоугольник: скругленные углы 2"/>
        <xdr:cNvSpPr/>
      </xdr:nvSpPr>
      <xdr:spPr>
        <a:xfrm>
          <a:off x="4411980" y="632460"/>
          <a:ext cx="3238500" cy="170434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  <a:endParaRPr lang="ru-RU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>
      <xdr:nvSpPr>
        <xdr:cNvPr id="2" name="TextBox 1"/>
        <xdr:cNvSpPr txBox="1"/>
      </xdr:nvSpPr>
      <xdr:spPr>
        <a:xfrm>
          <a:off x="4729480" y="831215"/>
          <a:ext cx="3160395" cy="5753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>
      <xdr:nvSpPr>
        <xdr:cNvPr id="3" name="TextBox 2"/>
        <xdr:cNvSpPr txBox="1"/>
      </xdr:nvSpPr>
      <xdr:spPr>
        <a:xfrm>
          <a:off x="4790440" y="1752600"/>
          <a:ext cx="3030855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>
      <xdr:nvSpPr>
        <xdr:cNvPr id="2" name="Прямоугольник: скругленные углы 1"/>
        <xdr:cNvSpPr/>
      </xdr:nvSpPr>
      <xdr:spPr>
        <a:xfrm>
          <a:off x="4998720" y="1562100"/>
          <a:ext cx="3299460" cy="146240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/>
        <xdr:cNvGrpSpPr/>
      </xdr:nvGrpSpPr>
      <xdr:grpSpPr>
        <a:xfrm>
          <a:off x="525780" y="2476500"/>
          <a:ext cx="1600200" cy="411480"/>
          <a:chOff x="525780" y="2457450"/>
          <a:chExt cx="1480185" cy="407670"/>
        </a:xfrm>
      </xdr:grpSpPr>
      <xdr:sp>
        <xdr:nvSpPr>
          <xdr:cNvPr id="3" name="TextBox 2"/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/>
        <xdr:cNvGrpSpPr/>
      </xdr:nvGrpSpPr>
      <xdr:grpSpPr>
        <a:xfrm>
          <a:off x="2910840" y="2476500"/>
          <a:ext cx="1569720" cy="662940"/>
          <a:chOff x="2674620" y="2457450"/>
          <a:chExt cx="1447800" cy="657225"/>
        </a:xfrm>
      </xdr:grpSpPr>
      <xdr:sp>
        <xdr:nvSpPr>
          <xdr:cNvPr id="6" name="TextBox 5"/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/>
        <xdr:cNvGrpSpPr/>
      </xdr:nvGrpSpPr>
      <xdr:grpSpPr>
        <a:xfrm>
          <a:off x="5143500" y="1013460"/>
          <a:ext cx="1882140" cy="678180"/>
          <a:chOff x="4733925" y="1009650"/>
          <a:chExt cx="1648778" cy="672465"/>
        </a:xfrm>
      </xdr:grpSpPr>
      <xdr:sp>
        <xdr:nvSpPr>
          <xdr:cNvPr id="9" name="TextBox 8"/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10" name="TextBox 9"/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>
      <xdr:nvSpPr>
        <xdr:cNvPr id="11" name="TextBox 10"/>
        <xdr:cNvSpPr txBox="1"/>
      </xdr:nvSpPr>
      <xdr:spPr>
        <a:xfrm>
          <a:off x="5052695" y="1628775"/>
          <a:ext cx="4229100" cy="1442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>
      <xdr:nvSpPr>
        <xdr:cNvPr id="2" name="Прямоугольник: скругленные углы 1"/>
        <xdr:cNvSpPr/>
      </xdr:nvSpPr>
      <xdr:spPr>
        <a:xfrm>
          <a:off x="4411980" y="632460"/>
          <a:ext cx="3104515" cy="131445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>
      <xdr:nvSpPr>
        <xdr:cNvPr id="2" name="Прямоугольник: скругленные углы 1"/>
        <xdr:cNvSpPr/>
      </xdr:nvSpPr>
      <xdr:spPr>
        <a:xfrm>
          <a:off x="4549140" y="632460"/>
          <a:ext cx="3110230" cy="131889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>
      <xdr:nvSpPr>
        <xdr:cNvPr id="2" name="Прямоугольник: скругленные углы 1"/>
        <xdr:cNvSpPr/>
      </xdr:nvSpPr>
      <xdr:spPr>
        <a:xfrm>
          <a:off x="4831080" y="632460"/>
          <a:ext cx="3112135" cy="131445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/>
        <xdr:cNvGrpSpPr/>
      </xdr:nvGrpSpPr>
      <xdr:grpSpPr>
        <a:xfrm>
          <a:off x="461645" y="2866390"/>
          <a:ext cx="4960620" cy="944880"/>
          <a:chOff x="693420" y="2904534"/>
          <a:chExt cx="4495800" cy="950135"/>
        </a:xfrm>
      </xdr:grpSpPr>
      <xdr:sp>
        <xdr:nvSpPr>
          <xdr:cNvPr id="3" name="TextBox 2"/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5" name="Прямая со стрелкой 4"/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/>
        <xdr:cNvGrpSpPr/>
      </xdr:nvGrpSpPr>
      <xdr:grpSpPr>
        <a:xfrm>
          <a:off x="5883910" y="1076325"/>
          <a:ext cx="1264920" cy="1035050"/>
          <a:chOff x="5433060" y="1057603"/>
          <a:chExt cx="1150883" cy="1041576"/>
        </a:xfrm>
      </xdr:grpSpPr>
      <xdr:sp>
        <xdr:nvSpPr>
          <xdr:cNvPr id="7" name="TextBox 6"/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8" name="Прямая со стрелкой 7"/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/>
        <xdr:cNvGrpSpPr/>
      </xdr:nvGrpSpPr>
      <xdr:grpSpPr>
        <a:xfrm>
          <a:off x="7185660" y="1087755"/>
          <a:ext cx="1394460" cy="1066800"/>
          <a:chOff x="6599183" y="1057603"/>
          <a:chExt cx="1274116" cy="1073107"/>
        </a:xfrm>
      </xdr:grpSpPr>
      <xdr:sp>
        <xdr:nvSpPr>
          <xdr:cNvPr id="10" name="TextBox 9"/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11" name="Прямая со стрелкой 10"/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>
      <xdr:nvSpPr>
        <xdr:cNvPr id="2" name="Прямоугольник: скругленные углы 1"/>
        <xdr:cNvSpPr/>
      </xdr:nvSpPr>
      <xdr:spPr>
        <a:xfrm>
          <a:off x="6819900" y="632460"/>
          <a:ext cx="3220720" cy="131889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>
      <xdr:nvSpPr>
        <xdr:cNvPr id="2" name="TextBox 1"/>
        <xdr:cNvSpPr txBox="1"/>
      </xdr:nvSpPr>
      <xdr:spPr>
        <a:xfrm>
          <a:off x="2388870" y="2304415"/>
          <a:ext cx="206819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>
      <xdr:nvCxnSpPr>
        <xdr:cNvPr id="3" name="Прямая со стрелкой 2"/>
        <xdr:cNvCxnSpPr/>
      </xdr:nvCxnSpPr>
      <xdr:spPr>
        <a:xfrm flipH="1">
          <a:off x="2267585" y="1661795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>
      <xdr:nvSpPr>
        <xdr:cNvPr id="2" name="TextBox 1"/>
        <xdr:cNvSpPr txBox="1"/>
      </xdr:nvSpPr>
      <xdr:spPr>
        <a:xfrm>
          <a:off x="6181725" y="454025"/>
          <a:ext cx="2872740" cy="571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>
      <xdr:nvSpPr>
        <xdr:cNvPr id="2" name="Прямоугольник: скругленные углы 1"/>
        <xdr:cNvSpPr/>
      </xdr:nvSpPr>
      <xdr:spPr>
        <a:xfrm>
          <a:off x="6294120" y="632460"/>
          <a:ext cx="3124200" cy="135001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zoomScale="220" zoomScaleNormal="220" topLeftCell="A4" workbookViewId="0">
      <selection activeCell="I5" sqref="I5"/>
    </sheetView>
  </sheetViews>
  <sheetFormatPr defaultColWidth="9" defaultRowHeight="14.4"/>
  <cols>
    <col min="1" max="1" width="8" customWidth="1"/>
    <col min="2" max="2" width="10.3333333333333" customWidth="1"/>
    <col min="9" max="9" width="14" customWidth="1"/>
    <col min="15" max="15" width="9.11111111111111" customWidth="1"/>
  </cols>
  <sheetData>
    <row r="1" spans="2:2">
      <c r="B1" s="94" t="s">
        <v>0</v>
      </c>
    </row>
    <row r="2" ht="21" spans="2:6">
      <c r="B2" s="95"/>
      <c r="F2" s="1" t="s">
        <v>1</v>
      </c>
    </row>
    <row r="3" spans="9:9">
      <c r="I3" s="7"/>
    </row>
    <row r="4" ht="15.6" spans="6:9">
      <c r="F4" s="96" t="s">
        <v>2</v>
      </c>
      <c r="G4" s="96" t="s">
        <v>3</v>
      </c>
      <c r="H4" s="96" t="s">
        <v>4</v>
      </c>
      <c r="I4" s="96" t="s">
        <v>5</v>
      </c>
    </row>
    <row r="5" spans="6:9">
      <c r="F5" s="4">
        <v>1999</v>
      </c>
      <c r="G5" s="4">
        <v>1</v>
      </c>
      <c r="H5" s="4">
        <v>1</v>
      </c>
      <c r="I5" s="52">
        <f>DATE(F5,G5,H5)</f>
        <v>36161</v>
      </c>
    </row>
    <row r="6" spans="6:9">
      <c r="F6" s="4">
        <v>2000</v>
      </c>
      <c r="G6" s="4">
        <v>1</v>
      </c>
      <c r="H6" s="4">
        <v>1</v>
      </c>
      <c r="I6" s="52">
        <f t="shared" ref="I6:I15" si="0">DATE(F6,G6,H6)</f>
        <v>36526</v>
      </c>
    </row>
    <row r="7" spans="6:9">
      <c r="F7" s="4">
        <v>2005</v>
      </c>
      <c r="G7" s="4">
        <v>2</v>
      </c>
      <c r="H7" s="4">
        <v>12</v>
      </c>
      <c r="I7" s="52">
        <f t="shared" si="0"/>
        <v>38395</v>
      </c>
    </row>
    <row r="8" spans="6:9">
      <c r="F8" s="4">
        <v>2010</v>
      </c>
      <c r="G8" s="4">
        <v>10</v>
      </c>
      <c r="H8" s="4">
        <v>22</v>
      </c>
      <c r="I8" s="52">
        <f t="shared" si="0"/>
        <v>40473</v>
      </c>
    </row>
    <row r="9" spans="6:9">
      <c r="F9" s="4">
        <v>2018</v>
      </c>
      <c r="G9" s="4">
        <v>6</v>
      </c>
      <c r="H9" s="4">
        <v>18</v>
      </c>
      <c r="I9" s="52">
        <f t="shared" si="0"/>
        <v>43269</v>
      </c>
    </row>
    <row r="10" spans="6:9">
      <c r="F10" s="4">
        <v>2022</v>
      </c>
      <c r="G10" s="4">
        <v>8</v>
      </c>
      <c r="H10" s="4">
        <v>15</v>
      </c>
      <c r="I10" s="52">
        <f t="shared" si="0"/>
        <v>44788</v>
      </c>
    </row>
    <row r="11" spans="6:9">
      <c r="F11" s="4">
        <v>2026</v>
      </c>
      <c r="G11" s="4">
        <v>9</v>
      </c>
      <c r="H11" s="4">
        <v>4</v>
      </c>
      <c r="I11" s="52">
        <f t="shared" si="0"/>
        <v>46269</v>
      </c>
    </row>
    <row r="12" spans="6:9">
      <c r="F12" s="4">
        <v>2030</v>
      </c>
      <c r="G12" s="4">
        <v>12</v>
      </c>
      <c r="H12" s="4">
        <v>30</v>
      </c>
      <c r="I12" s="52">
        <f t="shared" si="0"/>
        <v>47847</v>
      </c>
    </row>
    <row r="13" spans="6:9">
      <c r="F13" s="4">
        <v>2045</v>
      </c>
      <c r="G13" s="4">
        <v>3</v>
      </c>
      <c r="H13" s="4">
        <v>28</v>
      </c>
      <c r="I13" s="52">
        <f t="shared" si="0"/>
        <v>53049</v>
      </c>
    </row>
    <row r="14" spans="6:9">
      <c r="F14" s="4">
        <v>2050</v>
      </c>
      <c r="G14" s="4">
        <v>7</v>
      </c>
      <c r="H14" s="4">
        <v>3</v>
      </c>
      <c r="I14" s="52">
        <f t="shared" si="0"/>
        <v>54972</v>
      </c>
    </row>
    <row r="15" spans="6:9">
      <c r="F15" s="4">
        <v>2099</v>
      </c>
      <c r="G15" s="4">
        <v>11</v>
      </c>
      <c r="H15" s="4">
        <v>10</v>
      </c>
      <c r="I15" s="52">
        <f t="shared" si="0"/>
        <v>72999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zoomScale="115" zoomScaleNormal="115" workbookViewId="0">
      <selection activeCell="C5" sqref="C5"/>
    </sheetView>
  </sheetViews>
  <sheetFormatPr defaultColWidth="9" defaultRowHeight="14.4" outlineLevelCol="7"/>
  <cols>
    <col min="2" max="2" width="14" customWidth="1"/>
    <col min="3" max="5" width="13.7777777777778" customWidth="1"/>
    <col min="6" max="6" width="11.2222222222222" customWidth="1"/>
    <col min="8" max="8" width="11.2222222222222" customWidth="1"/>
  </cols>
  <sheetData>
    <row r="2" ht="21" spans="2:4">
      <c r="B2" s="1" t="s">
        <v>6</v>
      </c>
      <c r="C2" s="34" t="s">
        <v>7</v>
      </c>
      <c r="D2" s="35" t="s">
        <v>8</v>
      </c>
    </row>
    <row r="3" spans="3:5">
      <c r="C3" s="7"/>
      <c r="D3" s="7"/>
      <c r="E3" s="7"/>
    </row>
    <row r="4" ht="15.6" spans="2:5">
      <c r="B4" s="2" t="s">
        <v>9</v>
      </c>
      <c r="C4" s="2" t="s">
        <v>4</v>
      </c>
      <c r="D4" s="2" t="s">
        <v>3</v>
      </c>
      <c r="E4" s="2" t="s">
        <v>2</v>
      </c>
    </row>
    <row r="5" spans="2:8">
      <c r="B5" s="32">
        <v>27670</v>
      </c>
      <c r="C5" s="29">
        <f>DAY(B5)</f>
        <v>3</v>
      </c>
      <c r="D5" s="29">
        <f>MONTH(B5)</f>
        <v>10</v>
      </c>
      <c r="E5" s="29">
        <f>YEAR(B5)</f>
        <v>1975</v>
      </c>
      <c r="H5" s="9"/>
    </row>
    <row r="6" spans="2:8">
      <c r="B6" s="32">
        <v>33108</v>
      </c>
      <c r="C6" s="29">
        <f t="shared" ref="C6:C14" si="0">DAY(B6)</f>
        <v>23</v>
      </c>
      <c r="D6" s="29">
        <f t="shared" ref="D6:D14" si="1">MONTH(B6)</f>
        <v>8</v>
      </c>
      <c r="E6" s="29">
        <f t="shared" ref="E6:E13" si="2">YEAR(B6)</f>
        <v>1990</v>
      </c>
      <c r="H6" s="9"/>
    </row>
    <row r="7" spans="2:8">
      <c r="B7" s="32">
        <v>36526</v>
      </c>
      <c r="C7" s="29">
        <f t="shared" si="0"/>
        <v>1</v>
      </c>
      <c r="D7" s="29">
        <f t="shared" si="1"/>
        <v>1</v>
      </c>
      <c r="E7" s="29">
        <f t="shared" si="2"/>
        <v>2000</v>
      </c>
      <c r="H7" s="9"/>
    </row>
    <row r="8" spans="2:8">
      <c r="B8" s="32">
        <v>45285</v>
      </c>
      <c r="C8" s="29">
        <f t="shared" si="0"/>
        <v>25</v>
      </c>
      <c r="D8" s="29">
        <f t="shared" si="1"/>
        <v>12</v>
      </c>
      <c r="E8" s="29">
        <f t="shared" si="2"/>
        <v>2023</v>
      </c>
      <c r="H8" s="9"/>
    </row>
    <row r="9" spans="2:8">
      <c r="B9" s="32">
        <v>45823</v>
      </c>
      <c r="C9" s="29">
        <f t="shared" si="0"/>
        <v>15</v>
      </c>
      <c r="D9" s="29">
        <f t="shared" si="1"/>
        <v>6</v>
      </c>
      <c r="E9" s="29">
        <f t="shared" si="2"/>
        <v>2025</v>
      </c>
      <c r="H9" s="9"/>
    </row>
    <row r="10" spans="2:8">
      <c r="B10" s="32">
        <v>46143</v>
      </c>
      <c r="C10" s="29">
        <f t="shared" si="0"/>
        <v>1</v>
      </c>
      <c r="D10" s="29">
        <f t="shared" si="1"/>
        <v>5</v>
      </c>
      <c r="E10" s="29">
        <f t="shared" si="2"/>
        <v>2026</v>
      </c>
      <c r="H10" s="9"/>
    </row>
    <row r="11" spans="2:8">
      <c r="B11" s="32">
        <v>47027</v>
      </c>
      <c r="C11" s="29">
        <f t="shared" si="0"/>
        <v>1</v>
      </c>
      <c r="D11" s="29">
        <f t="shared" si="1"/>
        <v>10</v>
      </c>
      <c r="E11" s="29">
        <f t="shared" si="2"/>
        <v>2028</v>
      </c>
      <c r="H11" s="9"/>
    </row>
    <row r="12" spans="2:8">
      <c r="B12" s="32">
        <v>45657</v>
      </c>
      <c r="C12" s="29">
        <f t="shared" si="0"/>
        <v>31</v>
      </c>
      <c r="D12" s="29">
        <f t="shared" si="1"/>
        <v>12</v>
      </c>
      <c r="E12" s="29">
        <f t="shared" si="2"/>
        <v>2024</v>
      </c>
      <c r="H12" s="9"/>
    </row>
    <row r="13" spans="2:8">
      <c r="B13" s="32">
        <v>45350</v>
      </c>
      <c r="C13" s="29">
        <f t="shared" si="0"/>
        <v>28</v>
      </c>
      <c r="D13" s="29">
        <f t="shared" si="1"/>
        <v>2</v>
      </c>
      <c r="E13" s="29">
        <f t="shared" si="2"/>
        <v>2024</v>
      </c>
      <c r="H13" s="9"/>
    </row>
    <row r="14" spans="2:5">
      <c r="B14" s="32">
        <v>47738</v>
      </c>
      <c r="C14" s="29">
        <f t="shared" si="0"/>
        <v>12</v>
      </c>
      <c r="D14" s="29">
        <f t="shared" si="1"/>
        <v>9</v>
      </c>
      <c r="E14" s="29">
        <f>YEAR(B14)</f>
        <v>2030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2"/>
  <sheetViews>
    <sheetView workbookViewId="0">
      <selection activeCell="B21" sqref="B21"/>
    </sheetView>
  </sheetViews>
  <sheetFormatPr defaultColWidth="9" defaultRowHeight="14.4"/>
  <cols>
    <col min="2" max="2" width="14.5555555555556" customWidth="1"/>
    <col min="3" max="3" width="34.1111111111111" customWidth="1"/>
    <col min="6" max="6" width="11.2222222222222" customWidth="1"/>
    <col min="8" max="8" width="11.2222222222222" customWidth="1"/>
    <col min="9" max="9" width="10.8888888888889"/>
  </cols>
  <sheetData>
    <row r="2" ht="21" spans="2:2">
      <c r="B2" s="1" t="s">
        <v>10</v>
      </c>
    </row>
    <row r="4" ht="15.6" spans="2:3">
      <c r="B4" s="2" t="s">
        <v>9</v>
      </c>
      <c r="C4" s="2" t="s">
        <v>11</v>
      </c>
    </row>
    <row r="5" spans="2:8">
      <c r="B5" s="52">
        <f ca="1">TODAY()</f>
        <v>46276</v>
      </c>
      <c r="C5" s="97" t="s">
        <v>12</v>
      </c>
      <c r="D5" s="7" t="s">
        <v>13</v>
      </c>
      <c r="H5" s="9"/>
    </row>
    <row r="6" spans="2:8">
      <c r="B6" s="52">
        <f ca="1">TODAY()-7</f>
        <v>46269</v>
      </c>
      <c r="C6" s="97" t="s">
        <v>14</v>
      </c>
      <c r="D6" s="7" t="s">
        <v>15</v>
      </c>
      <c r="H6" s="9"/>
    </row>
    <row r="7" spans="2:8">
      <c r="B7" s="52">
        <f ca="1">TODAY()+7</f>
        <v>46283</v>
      </c>
      <c r="C7" s="97" t="s">
        <v>16</v>
      </c>
      <c r="D7" s="7" t="s">
        <v>17</v>
      </c>
      <c r="H7" s="9"/>
    </row>
    <row r="8" spans="2:8">
      <c r="B8" s="52">
        <f ca="1">TODAY()+90</f>
        <v>46366</v>
      </c>
      <c r="C8" s="97" t="s">
        <v>18</v>
      </c>
      <c r="D8" s="7" t="s">
        <v>19</v>
      </c>
      <c r="H8" s="9"/>
    </row>
    <row r="9" spans="2:9">
      <c r="B9" s="52">
        <f ca="1">EDATE(TODAY(),3)</f>
        <v>46367</v>
      </c>
      <c r="C9" s="97" t="s">
        <v>20</v>
      </c>
      <c r="D9" s="7" t="s">
        <v>21</v>
      </c>
      <c r="H9" s="9"/>
      <c r="I9" s="9"/>
    </row>
    <row r="10" spans="2:8">
      <c r="B10" s="52">
        <f ca="1">EDATE(TODAY(),12)</f>
        <v>46641</v>
      </c>
      <c r="C10" s="97" t="s">
        <v>22</v>
      </c>
      <c r="D10" s="7" t="s">
        <v>23</v>
      </c>
      <c r="H10" s="9"/>
    </row>
    <row r="11" spans="2:8">
      <c r="B11" s="52">
        <f ca="1">EDATE(TODAY(),-12)</f>
        <v>45911</v>
      </c>
      <c r="C11" s="97" t="s">
        <v>24</v>
      </c>
      <c r="D11" s="7" t="s">
        <v>25</v>
      </c>
      <c r="H11" s="9"/>
    </row>
    <row r="12" spans="2:8">
      <c r="B12" s="52">
        <f ca="1">EOMONTH(TODAY(),0)</f>
        <v>46295</v>
      </c>
      <c r="C12" s="97" t="s">
        <v>26</v>
      </c>
      <c r="D12" s="7" t="s">
        <v>27</v>
      </c>
      <c r="H12" s="9"/>
    </row>
    <row r="13" spans="2:8">
      <c r="B13" s="52">
        <f ca="1">EOMONTH(TODAY(),-1)+1</f>
        <v>46266</v>
      </c>
      <c r="C13" s="97" t="s">
        <v>28</v>
      </c>
      <c r="D13" s="7" t="s">
        <v>29</v>
      </c>
      <c r="H13" s="9"/>
    </row>
    <row r="14" spans="2:4">
      <c r="B14" s="91">
        <f ca="1">TODAY()+TIME(18,0,0)</f>
        <v>46276.75</v>
      </c>
      <c r="C14" s="98" t="s">
        <v>30</v>
      </c>
      <c r="D14" s="7" t="s">
        <v>31</v>
      </c>
    </row>
    <row r="15" spans="2:4">
      <c r="B15" s="91">
        <f ca="1">TODAY()+1+TIME(12,0,0)</f>
        <v>46277.5</v>
      </c>
      <c r="C15" s="98" t="s">
        <v>32</v>
      </c>
      <c r="D15" s="7" t="s">
        <v>33</v>
      </c>
    </row>
    <row r="19" ht="21" spans="2:2">
      <c r="B19" s="1" t="s">
        <v>34</v>
      </c>
    </row>
    <row r="20" ht="15.6" spans="2:3">
      <c r="B20" s="2" t="s">
        <v>35</v>
      </c>
      <c r="C20" s="2" t="s">
        <v>11</v>
      </c>
    </row>
    <row r="21" spans="2:4">
      <c r="B21" s="92">
        <f ca="1">NOW()+TIME(19,25,0)</f>
        <v>46276.816087963</v>
      </c>
      <c r="C21" s="99" t="s">
        <v>36</v>
      </c>
      <c r="D21" t="s">
        <v>37</v>
      </c>
    </row>
    <row r="22" spans="3:3">
      <c r="C22" s="93"/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zoomScale="145" zoomScaleNormal="145" workbookViewId="0">
      <selection activeCell="E7" sqref="E7"/>
    </sheetView>
  </sheetViews>
  <sheetFormatPr defaultColWidth="9" defaultRowHeight="14.4"/>
  <cols>
    <col min="2" max="2" width="13.1111111111111" customWidth="1"/>
    <col min="3" max="3" width="12.4444444444444" customWidth="1"/>
    <col min="4" max="4" width="8" customWidth="1"/>
    <col min="5" max="5" width="14.5555555555556" customWidth="1"/>
    <col min="8" max="8" width="11.2222222222222" customWidth="1"/>
    <col min="10" max="10" width="15.2222222222222" customWidth="1"/>
  </cols>
  <sheetData>
    <row r="2" ht="21" spans="2:2">
      <c r="B2" s="1" t="s">
        <v>38</v>
      </c>
    </row>
    <row r="4" ht="15.6" spans="2:10">
      <c r="B4" s="2" t="s">
        <v>9</v>
      </c>
      <c r="C4" s="2" t="s">
        <v>39</v>
      </c>
      <c r="E4" s="2" t="s">
        <v>5</v>
      </c>
      <c r="J4" s="90"/>
    </row>
    <row r="5" spans="2:10">
      <c r="B5" s="32">
        <v>46784</v>
      </c>
      <c r="C5" s="4">
        <v>1</v>
      </c>
      <c r="E5" s="52">
        <f>EDATE(B5,C5)</f>
        <v>46813</v>
      </c>
      <c r="F5" s="7" t="s">
        <v>40</v>
      </c>
      <c r="J5" s="9"/>
    </row>
    <row r="6" spans="2:10">
      <c r="B6" s="32">
        <v>46784</v>
      </c>
      <c r="C6" s="4">
        <v>2</v>
      </c>
      <c r="E6" s="52">
        <f>EDATE(B6,C6)</f>
        <v>46844</v>
      </c>
      <c r="F6" s="7" t="s">
        <v>41</v>
      </c>
      <c r="J6" s="9"/>
    </row>
    <row r="7" spans="2:10">
      <c r="B7" s="32">
        <v>46784</v>
      </c>
      <c r="C7" s="4">
        <v>3</v>
      </c>
      <c r="E7" s="52">
        <f>EDATE(B7,C7)</f>
        <v>46874</v>
      </c>
      <c r="F7" s="7" t="s">
        <v>42</v>
      </c>
      <c r="J7" s="9"/>
    </row>
    <row r="8" spans="2:10">
      <c r="B8" s="32">
        <v>46784</v>
      </c>
      <c r="C8" s="4">
        <v>-1</v>
      </c>
      <c r="E8" s="52">
        <f>EDATE(B8,C8)</f>
        <v>46753</v>
      </c>
      <c r="F8" s="7" t="s">
        <v>43</v>
      </c>
      <c r="J8" s="9"/>
    </row>
    <row r="9" spans="2:10">
      <c r="B9" s="32">
        <v>46784</v>
      </c>
      <c r="C9" s="4">
        <v>-2</v>
      </c>
      <c r="E9" s="52">
        <f>EDATE(B9,C9)</f>
        <v>46722</v>
      </c>
      <c r="F9" s="7" t="s">
        <v>44</v>
      </c>
      <c r="J9" s="9"/>
    </row>
    <row r="10" spans="2:10">
      <c r="B10" s="32">
        <v>46784</v>
      </c>
      <c r="C10" s="4">
        <v>-3</v>
      </c>
      <c r="E10" s="52">
        <f>EDATE(B10,C10)</f>
        <v>46692</v>
      </c>
      <c r="F10" s="7" t="s">
        <v>45</v>
      </c>
      <c r="J10" s="9"/>
    </row>
    <row r="11" spans="2:10">
      <c r="B11" s="32">
        <v>46783</v>
      </c>
      <c r="C11" s="4">
        <v>1</v>
      </c>
      <c r="E11" s="52">
        <f t="shared" ref="E11:E16" si="0">EDATE(B11,C11)</f>
        <v>46812</v>
      </c>
      <c r="F11" s="7" t="s">
        <v>46</v>
      </c>
      <c r="J11" s="9"/>
    </row>
    <row r="12" spans="2:10">
      <c r="B12" s="32">
        <v>46827</v>
      </c>
      <c r="C12" s="4">
        <v>1.5</v>
      </c>
      <c r="E12" s="52">
        <f t="shared" si="0"/>
        <v>46858</v>
      </c>
      <c r="F12" s="7" t="s">
        <v>47</v>
      </c>
      <c r="J12" s="9"/>
    </row>
    <row r="13" spans="2:10">
      <c r="B13" s="32">
        <v>46827</v>
      </c>
      <c r="C13" s="4">
        <v>12</v>
      </c>
      <c r="E13" s="52">
        <f t="shared" si="0"/>
        <v>47192</v>
      </c>
      <c r="F13" s="7" t="s">
        <v>48</v>
      </c>
      <c r="J13" s="9"/>
    </row>
    <row r="14" spans="2:6">
      <c r="B14" s="32">
        <v>46827</v>
      </c>
      <c r="C14" s="4">
        <v>24</v>
      </c>
      <c r="E14" s="52">
        <f t="shared" si="0"/>
        <v>47557</v>
      </c>
      <c r="F14" s="7" t="s">
        <v>49</v>
      </c>
    </row>
    <row r="15" spans="2:6">
      <c r="B15" s="32">
        <v>46905</v>
      </c>
      <c r="C15" s="4">
        <v>120</v>
      </c>
      <c r="E15" s="52">
        <f t="shared" si="0"/>
        <v>50557</v>
      </c>
      <c r="F15" s="7" t="s">
        <v>50</v>
      </c>
    </row>
    <row r="16" spans="2:6">
      <c r="B16" s="32">
        <v>47011</v>
      </c>
      <c r="C16" s="4">
        <v>-60</v>
      </c>
      <c r="E16" s="52">
        <f t="shared" si="0"/>
        <v>45184</v>
      </c>
      <c r="F16" s="7" t="s">
        <v>51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D5" sqref="D5"/>
    </sheetView>
  </sheetViews>
  <sheetFormatPr defaultColWidth="9" defaultRowHeight="14.4"/>
  <cols>
    <col min="1" max="1" width="9.11111111111111" customWidth="1"/>
    <col min="2" max="2" width="14" customWidth="1"/>
    <col min="3" max="3" width="11.5555555555556" customWidth="1"/>
    <col min="4" max="4" width="14.2222222222222" customWidth="1"/>
    <col min="5" max="5" width="15.8888888888889" customWidth="1"/>
    <col min="6" max="6" width="16.6666666666667" customWidth="1"/>
    <col min="7" max="7" width="13.3333333333333" customWidth="1"/>
    <col min="9" max="9" width="11.2222222222222" customWidth="1"/>
  </cols>
  <sheetData>
    <row r="1" spans="10:10">
      <c r="J1" s="10"/>
    </row>
    <row r="2" ht="21" spans="2:6">
      <c r="B2" s="1" t="s">
        <v>52</v>
      </c>
      <c r="C2" s="85" t="s">
        <v>53</v>
      </c>
      <c r="E2" s="26" t="s">
        <v>54</v>
      </c>
      <c r="F2" s="34" t="s">
        <v>55</v>
      </c>
    </row>
    <row r="3" spans="4:6">
      <c r="D3" s="7"/>
      <c r="E3" s="7"/>
      <c r="F3" s="7"/>
    </row>
    <row r="4" ht="15.6" spans="2:7">
      <c r="B4" s="2" t="s">
        <v>56</v>
      </c>
      <c r="C4" s="2" t="s">
        <v>57</v>
      </c>
      <c r="D4" s="2" t="s">
        <v>52</v>
      </c>
      <c r="E4" s="2" t="s">
        <v>53</v>
      </c>
      <c r="F4" s="2" t="s">
        <v>54</v>
      </c>
      <c r="G4" s="2" t="s">
        <v>55</v>
      </c>
    </row>
    <row r="5" spans="2:9">
      <c r="B5" s="4">
        <v>6.6445</v>
      </c>
      <c r="C5" s="4">
        <v>0</v>
      </c>
      <c r="D5" s="86">
        <f>ROUND(B5,C5)</f>
        <v>7</v>
      </c>
      <c r="E5" s="86">
        <f>ROUNDUP(B5,C5)</f>
        <v>7</v>
      </c>
      <c r="F5" s="86">
        <f>ROUNDDOWN(B5,C5)</f>
        <v>6</v>
      </c>
      <c r="G5" s="86">
        <f>INT(B5)</f>
        <v>6</v>
      </c>
      <c r="H5" s="7" t="s">
        <v>58</v>
      </c>
      <c r="I5" s="9"/>
    </row>
    <row r="6" spans="2:8">
      <c r="B6" s="4">
        <v>3.1926</v>
      </c>
      <c r="C6" s="4">
        <v>1</v>
      </c>
      <c r="D6" s="87">
        <f>ROUND(B6,C6)</f>
        <v>3.2</v>
      </c>
      <c r="E6" s="87">
        <f t="shared" ref="E6:E14" si="0">ROUNDUP(B6,C6)</f>
        <v>3.2</v>
      </c>
      <c r="F6" s="87">
        <f t="shared" ref="F6:F14" si="1">ROUNDDOWN(B6,C6)</f>
        <v>3.1</v>
      </c>
      <c r="G6" s="87">
        <f t="shared" ref="G6:G14" si="2">INT(B6)</f>
        <v>3</v>
      </c>
      <c r="H6" s="7" t="s">
        <v>59</v>
      </c>
    </row>
    <row r="7" spans="2:8">
      <c r="B7" s="4">
        <v>3.7498</v>
      </c>
      <c r="C7" s="4">
        <v>2</v>
      </c>
      <c r="D7" s="88">
        <f t="shared" ref="D6:D14" si="3">ROUND(B7,C7)</f>
        <v>3.75</v>
      </c>
      <c r="E7" s="88">
        <f t="shared" si="0"/>
        <v>3.75</v>
      </c>
      <c r="F7" s="88">
        <f t="shared" si="1"/>
        <v>3.74</v>
      </c>
      <c r="G7" s="88">
        <f t="shared" si="2"/>
        <v>3</v>
      </c>
      <c r="H7" s="7" t="s">
        <v>60</v>
      </c>
    </row>
    <row r="8" spans="2:8">
      <c r="B8" s="4">
        <v>0</v>
      </c>
      <c r="C8" s="4">
        <v>3</v>
      </c>
      <c r="D8" s="86">
        <f t="shared" si="3"/>
        <v>0</v>
      </c>
      <c r="E8" s="86">
        <f t="shared" si="0"/>
        <v>0</v>
      </c>
      <c r="F8" s="86">
        <f t="shared" si="1"/>
        <v>0</v>
      </c>
      <c r="G8" s="86">
        <f t="shared" si="2"/>
        <v>0</v>
      </c>
      <c r="H8" s="7" t="s">
        <v>61</v>
      </c>
    </row>
    <row r="9" spans="2:8">
      <c r="B9" s="4">
        <v>-7.445</v>
      </c>
      <c r="C9" s="4">
        <v>1</v>
      </c>
      <c r="D9" s="87">
        <f t="shared" si="3"/>
        <v>-7.4</v>
      </c>
      <c r="E9" s="87">
        <f t="shared" si="0"/>
        <v>-7.5</v>
      </c>
      <c r="F9" s="87">
        <f t="shared" si="1"/>
        <v>-7.4</v>
      </c>
      <c r="G9" s="87">
        <f t="shared" si="2"/>
        <v>-8</v>
      </c>
      <c r="H9" s="7" t="s">
        <v>62</v>
      </c>
    </row>
    <row r="10" spans="2:9">
      <c r="B10" s="89">
        <v>-5.313</v>
      </c>
      <c r="C10" s="41">
        <v>2</v>
      </c>
      <c r="D10" s="88">
        <f t="shared" si="3"/>
        <v>-5.31</v>
      </c>
      <c r="E10" s="88">
        <f t="shared" si="0"/>
        <v>-5.32</v>
      </c>
      <c r="F10" s="88">
        <f t="shared" si="1"/>
        <v>-5.31</v>
      </c>
      <c r="G10" s="88">
        <f t="shared" si="2"/>
        <v>-6</v>
      </c>
      <c r="H10" s="7" t="s">
        <v>63</v>
      </c>
      <c r="I10" s="9"/>
    </row>
    <row r="11" spans="2:9">
      <c r="B11" s="4">
        <v>72325.3</v>
      </c>
      <c r="C11" s="4">
        <v>-1</v>
      </c>
      <c r="D11" s="42">
        <f>ROUND(B11,C11)</f>
        <v>72330</v>
      </c>
      <c r="E11" s="42">
        <f t="shared" si="0"/>
        <v>72330</v>
      </c>
      <c r="F11" s="42">
        <f t="shared" si="1"/>
        <v>72320</v>
      </c>
      <c r="G11" s="42">
        <f>INT(B11)</f>
        <v>72325</v>
      </c>
      <c r="H11" s="7" t="s">
        <v>64</v>
      </c>
      <c r="I11" s="9"/>
    </row>
    <row r="12" spans="2:9">
      <c r="B12" s="4">
        <v>88275.5</v>
      </c>
      <c r="C12" s="4">
        <v>-2</v>
      </c>
      <c r="D12" s="42">
        <f t="shared" si="3"/>
        <v>88300</v>
      </c>
      <c r="E12" s="42">
        <f t="shared" si="0"/>
        <v>88300</v>
      </c>
      <c r="F12" s="42">
        <f t="shared" si="1"/>
        <v>88200</v>
      </c>
      <c r="G12" s="42">
        <f>INT(B12)</f>
        <v>88275</v>
      </c>
      <c r="H12" s="7" t="s">
        <v>65</v>
      </c>
      <c r="I12" s="9"/>
    </row>
    <row r="13" spans="2:9">
      <c r="B13" s="4">
        <v>81893.8</v>
      </c>
      <c r="C13" s="4">
        <v>-3</v>
      </c>
      <c r="D13" s="42">
        <f t="shared" si="3"/>
        <v>82000</v>
      </c>
      <c r="E13" s="42">
        <f t="shared" si="0"/>
        <v>82000</v>
      </c>
      <c r="F13" s="42">
        <f t="shared" si="1"/>
        <v>81000</v>
      </c>
      <c r="G13" s="42">
        <f t="shared" si="2"/>
        <v>81893</v>
      </c>
      <c r="H13" s="7" t="s">
        <v>66</v>
      </c>
      <c r="I13" s="9"/>
    </row>
    <row r="14" spans="2:8">
      <c r="B14" s="4">
        <v>35901.4</v>
      </c>
      <c r="C14" s="4">
        <v>-4</v>
      </c>
      <c r="D14" s="42">
        <f t="shared" si="3"/>
        <v>40000</v>
      </c>
      <c r="E14" s="42">
        <f t="shared" si="0"/>
        <v>40000</v>
      </c>
      <c r="F14" s="42">
        <f t="shared" si="1"/>
        <v>30000</v>
      </c>
      <c r="G14" s="42">
        <f t="shared" si="2"/>
        <v>35901</v>
      </c>
      <c r="H14" s="7" t="s">
        <v>67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"/>
  <sheetViews>
    <sheetView workbookViewId="0">
      <selection activeCell="H14" sqref="H14"/>
    </sheetView>
  </sheetViews>
  <sheetFormatPr defaultColWidth="9" defaultRowHeight="14.4"/>
  <cols>
    <col min="1" max="1" width="8.88888888888889" style="66"/>
    <col min="2" max="2" width="9.22222222222222" style="66" customWidth="1"/>
    <col min="3" max="5" width="7.33333333333333" style="66" customWidth="1"/>
    <col min="6" max="6" width="7.77777777777778" style="66" customWidth="1"/>
    <col min="7" max="7" width="4.88888888888889" style="66" customWidth="1"/>
    <col min="8" max="8" width="10.1111111111111" style="66" customWidth="1"/>
    <col min="9" max="16384" width="8.88888888888889" style="66"/>
  </cols>
  <sheetData>
    <row r="1" spans="10:10">
      <c r="J1" s="65"/>
    </row>
    <row r="2" ht="21" spans="2:5">
      <c r="B2" s="67" t="s">
        <v>68</v>
      </c>
      <c r="C2" s="68"/>
      <c r="D2" s="69"/>
      <c r="E2" s="70"/>
    </row>
    <row r="3" spans="4:6">
      <c r="D3" s="71"/>
      <c r="E3" s="71"/>
      <c r="F3" s="71"/>
    </row>
    <row r="4" ht="15.6" spans="2:8">
      <c r="B4" s="72" t="s">
        <v>69</v>
      </c>
      <c r="C4" s="72" t="s">
        <v>70</v>
      </c>
      <c r="D4" s="72" t="s">
        <v>71</v>
      </c>
      <c r="E4" s="72" t="s">
        <v>72</v>
      </c>
      <c r="F4" s="72" t="s">
        <v>73</v>
      </c>
      <c r="H4" s="73" t="s">
        <v>5</v>
      </c>
    </row>
    <row r="5" spans="2:11">
      <c r="B5" s="74">
        <v>1</v>
      </c>
      <c r="C5" s="74">
        <v>2</v>
      </c>
      <c r="D5" s="74">
        <v>3</v>
      </c>
      <c r="E5" s="75">
        <v>4</v>
      </c>
      <c r="F5" s="74">
        <v>5</v>
      </c>
      <c r="H5" s="76">
        <f>SUM(B5:F5)</f>
        <v>15</v>
      </c>
      <c r="I5" s="71" t="s">
        <v>74</v>
      </c>
      <c r="K5" s="71"/>
    </row>
    <row r="6" spans="2:12">
      <c r="B6" s="74">
        <v>3.1926</v>
      </c>
      <c r="C6" s="74">
        <v>1.2</v>
      </c>
      <c r="D6" s="74">
        <v>3.2</v>
      </c>
      <c r="E6" s="77">
        <v>3.5</v>
      </c>
      <c r="F6" s="74">
        <v>4.1</v>
      </c>
      <c r="H6" s="78">
        <f>SUM(B6:F6)</f>
        <v>15.1926</v>
      </c>
      <c r="I6" s="71" t="s">
        <v>75</v>
      </c>
      <c r="K6" s="71"/>
      <c r="L6" s="84"/>
    </row>
    <row r="7" spans="2:11">
      <c r="B7" s="75">
        <v>-1</v>
      </c>
      <c r="C7" s="75">
        <v>2</v>
      </c>
      <c r="D7" s="74">
        <v>-3</v>
      </c>
      <c r="E7" s="75">
        <v>4</v>
      </c>
      <c r="F7" s="74">
        <v>-6</v>
      </c>
      <c r="H7" s="76">
        <f>SUM(B7:F7)</f>
        <v>-4</v>
      </c>
      <c r="I7" s="71" t="s">
        <v>76</v>
      </c>
      <c r="K7" s="71"/>
    </row>
    <row r="8" spans="2:11">
      <c r="B8" s="79">
        <v>47119</v>
      </c>
      <c r="C8" s="75">
        <v>30</v>
      </c>
      <c r="D8" s="74">
        <v>55.2</v>
      </c>
      <c r="E8" s="75">
        <v>6</v>
      </c>
      <c r="F8" s="74">
        <v>1</v>
      </c>
      <c r="H8" s="80">
        <f>SUM(B8:F8)</f>
        <v>47211.2</v>
      </c>
      <c r="I8" s="71" t="s">
        <v>77</v>
      </c>
      <c r="K8" s="71"/>
    </row>
    <row r="9" spans="2:11">
      <c r="B9" s="81">
        <v>0.78125</v>
      </c>
      <c r="C9" s="75">
        <v>10</v>
      </c>
      <c r="D9" s="74">
        <v>15</v>
      </c>
      <c r="E9" s="75">
        <v>30</v>
      </c>
      <c r="F9" s="74">
        <v>45</v>
      </c>
      <c r="H9" s="82">
        <f>SUM(B9:F9)</f>
        <v>100.78125</v>
      </c>
      <c r="I9" s="71" t="s">
        <v>78</v>
      </c>
      <c r="K9" s="71"/>
    </row>
    <row r="10" spans="2:11">
      <c r="B10" s="74">
        <v>5</v>
      </c>
      <c r="C10" s="74" t="s">
        <v>79</v>
      </c>
      <c r="D10" s="74">
        <v>0</v>
      </c>
      <c r="E10" s="75" t="s">
        <v>80</v>
      </c>
      <c r="F10" s="74">
        <v>15</v>
      </c>
      <c r="H10" s="83">
        <f>SUM(B10:F10)</f>
        <v>20</v>
      </c>
      <c r="I10" s="71" t="s">
        <v>81</v>
      </c>
      <c r="K10" s="71"/>
    </row>
    <row r="11" spans="2:11">
      <c r="B11" s="74" t="s">
        <v>82</v>
      </c>
      <c r="C11" s="74" t="s">
        <v>83</v>
      </c>
      <c r="D11" s="74" t="s">
        <v>84</v>
      </c>
      <c r="E11" s="75" t="s">
        <v>85</v>
      </c>
      <c r="F11" s="74" t="s">
        <v>86</v>
      </c>
      <c r="H11" s="83">
        <f>SUM(B11:F11)</f>
        <v>0</v>
      </c>
      <c r="I11" s="71" t="s">
        <v>81</v>
      </c>
      <c r="K11" s="71"/>
    </row>
    <row r="12" spans="2:11">
      <c r="B12" s="74">
        <v>1</v>
      </c>
      <c r="C12" s="74">
        <v>2</v>
      </c>
      <c r="D12" s="74">
        <v>3</v>
      </c>
      <c r="E12" s="75">
        <v>4</v>
      </c>
      <c r="F12" s="74" t="e">
        <f>E12/0</f>
        <v>#DIV/0!</v>
      </c>
      <c r="H12" s="83" t="e">
        <f>SUM(B12:F12)</f>
        <v>#DIV/0!</v>
      </c>
      <c r="I12" s="71" t="s">
        <v>87</v>
      </c>
      <c r="K12" s="71"/>
    </row>
    <row r="13" spans="2:11">
      <c r="B13" s="74">
        <v>5</v>
      </c>
      <c r="C13" s="74">
        <v>6</v>
      </c>
      <c r="D13" s="74">
        <v>7</v>
      </c>
      <c r="E13" s="74" t="e">
        <f>VLOOKUP(14,H5:H8,1,0)</f>
        <v>#N/A</v>
      </c>
      <c r="F13" s="75">
        <v>8</v>
      </c>
      <c r="H13" s="83" t="e">
        <f>SUM(B13:F13)</f>
        <v>#N/A</v>
      </c>
      <c r="I13" s="71" t="s">
        <v>87</v>
      </c>
      <c r="K13" s="71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G15" sqref="G15"/>
    </sheetView>
  </sheetViews>
  <sheetFormatPr defaultColWidth="9" defaultRowHeight="14.4"/>
  <cols>
    <col min="1" max="1" width="8.88888888888889" style="53"/>
    <col min="2" max="2" width="9.22222222222222" style="53" customWidth="1"/>
    <col min="3" max="3" width="7.33333333333333" style="53" customWidth="1"/>
    <col min="4" max="5" width="9.88888888888889" style="53" customWidth="1"/>
    <col min="6" max="6" width="4.88888888888889" style="53" customWidth="1"/>
    <col min="7" max="7" width="10.1111111111111" style="53" customWidth="1"/>
    <col min="8" max="16384" width="8.88888888888889" style="53"/>
  </cols>
  <sheetData>
    <row r="1" spans="10:10">
      <c r="J1" s="65"/>
    </row>
    <row r="2" ht="21" spans="2:5">
      <c r="B2" s="54" t="s">
        <v>88</v>
      </c>
      <c r="C2" s="55"/>
      <c r="D2" s="56"/>
      <c r="E2" s="56"/>
    </row>
    <row r="3" spans="4:5">
      <c r="D3" s="57"/>
      <c r="E3" s="57"/>
    </row>
    <row r="4" ht="15.6" spans="2:7">
      <c r="B4" s="58" t="s">
        <v>69</v>
      </c>
      <c r="C4" s="58" t="s">
        <v>70</v>
      </c>
      <c r="D4" s="58" t="s">
        <v>71</v>
      </c>
      <c r="E4" s="58" t="s">
        <v>72</v>
      </c>
      <c r="G4" s="59" t="s">
        <v>5</v>
      </c>
    </row>
    <row r="5" spans="2:10">
      <c r="B5" s="60">
        <v>1</v>
      </c>
      <c r="C5" s="60">
        <v>2</v>
      </c>
      <c r="D5" s="60">
        <v>3</v>
      </c>
      <c r="E5" s="60">
        <v>4</v>
      </c>
      <c r="G5" s="61">
        <f>AVERAGE(B5:E5)</f>
        <v>2.5</v>
      </c>
      <c r="H5" s="57" t="s">
        <v>74</v>
      </c>
      <c r="J5" s="57"/>
    </row>
    <row r="6" spans="2:10">
      <c r="B6" s="60">
        <v>3.1926</v>
      </c>
      <c r="C6" s="60">
        <v>1.2</v>
      </c>
      <c r="D6" s="60">
        <v>3.2</v>
      </c>
      <c r="E6" s="60">
        <v>4.8</v>
      </c>
      <c r="G6" s="61">
        <f>AVERAGE(B6:E6)</f>
        <v>3.09815</v>
      </c>
      <c r="H6" s="57" t="s">
        <v>75</v>
      </c>
      <c r="J6" s="57"/>
    </row>
    <row r="7" spans="2:10">
      <c r="B7" s="62">
        <v>-1</v>
      </c>
      <c r="C7" s="62">
        <v>-2</v>
      </c>
      <c r="D7" s="60">
        <v>-3</v>
      </c>
      <c r="E7" s="60">
        <v>-4</v>
      </c>
      <c r="G7" s="61">
        <f>AVERAGE(B7:E7)</f>
        <v>-2.5</v>
      </c>
      <c r="H7" s="57" t="s">
        <v>76</v>
      </c>
      <c r="J7" s="57"/>
    </row>
    <row r="8" spans="2:10">
      <c r="B8" s="63">
        <v>47119</v>
      </c>
      <c r="C8" s="62">
        <v>30</v>
      </c>
      <c r="D8" s="60">
        <v>55.2</v>
      </c>
      <c r="E8" s="60">
        <v>8</v>
      </c>
      <c r="G8" s="61">
        <f>AVERAGE(B8:E8)</f>
        <v>11803.05</v>
      </c>
      <c r="H8" s="57" t="s">
        <v>77</v>
      </c>
      <c r="J8" s="57"/>
    </row>
    <row r="9" spans="2:10">
      <c r="B9" s="64">
        <v>0.78125</v>
      </c>
      <c r="C9" s="62">
        <v>10</v>
      </c>
      <c r="D9" s="60">
        <v>15</v>
      </c>
      <c r="E9" s="60">
        <v>3</v>
      </c>
      <c r="G9" s="61">
        <f>AVERAGE(B9:E9)</f>
        <v>7.1953125</v>
      </c>
      <c r="H9" s="57" t="s">
        <v>78</v>
      </c>
      <c r="J9" s="57"/>
    </row>
    <row r="10" spans="2:10">
      <c r="B10" s="62">
        <v>5</v>
      </c>
      <c r="C10" s="62">
        <v>10</v>
      </c>
      <c r="D10" s="60">
        <v>0</v>
      </c>
      <c r="E10" s="60">
        <v>15</v>
      </c>
      <c r="G10" s="61">
        <f>AVERAGE(B10:E10)</f>
        <v>7.5</v>
      </c>
      <c r="H10" s="57" t="s">
        <v>89</v>
      </c>
      <c r="J10" s="57"/>
    </row>
    <row r="11" spans="2:10">
      <c r="B11" s="62">
        <v>5</v>
      </c>
      <c r="C11" s="62">
        <v>10</v>
      </c>
      <c r="D11" s="60"/>
      <c r="E11" s="60">
        <v>15</v>
      </c>
      <c r="G11" s="61">
        <f>AVERAGE(B11:E11)</f>
        <v>10</v>
      </c>
      <c r="H11" s="57" t="s">
        <v>90</v>
      </c>
      <c r="J11" s="57"/>
    </row>
    <row r="12" spans="2:8">
      <c r="B12" s="60">
        <v>5</v>
      </c>
      <c r="C12" s="60" t="s">
        <v>79</v>
      </c>
      <c r="D12" s="60">
        <v>1</v>
      </c>
      <c r="E12" s="60">
        <v>1</v>
      </c>
      <c r="G12" s="61">
        <f>AVERAGE(B12:E12)</f>
        <v>2.33333333333333</v>
      </c>
      <c r="H12" s="57" t="s">
        <v>81</v>
      </c>
    </row>
    <row r="13" spans="2:10">
      <c r="B13" s="60" t="s">
        <v>82</v>
      </c>
      <c r="C13" s="60" t="s">
        <v>83</v>
      </c>
      <c r="D13" s="60" t="s">
        <v>84</v>
      </c>
      <c r="E13" s="60" t="s">
        <v>85</v>
      </c>
      <c r="G13" s="61" t="e">
        <f>AVERAGE(B13:E13)</f>
        <v>#DIV/0!</v>
      </c>
      <c r="H13" s="57" t="s">
        <v>81</v>
      </c>
      <c r="J13" s="57"/>
    </row>
    <row r="14" spans="2:10">
      <c r="B14" s="60">
        <v>1</v>
      </c>
      <c r="C14" s="60">
        <v>2</v>
      </c>
      <c r="D14" s="60" t="e">
        <f>VLOOKUP(G7,G5:G6,1,0)</f>
        <v>#N/A</v>
      </c>
      <c r="E14" s="60">
        <v>3</v>
      </c>
      <c r="G14" s="61" t="e">
        <f>AVERAGE(B14:E14)</f>
        <v>#N/A</v>
      </c>
      <c r="H14" s="57" t="s">
        <v>91</v>
      </c>
      <c r="J14" s="57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5" sqref="D5:D15"/>
    </sheetView>
  </sheetViews>
  <sheetFormatPr defaultColWidth="9" defaultRowHeight="14.4"/>
  <cols>
    <col min="2" max="2" width="14.5555555555556" customWidth="1"/>
    <col min="3" max="3" width="15.1111111111111" customWidth="1"/>
    <col min="4" max="4" width="14.4444444444444" customWidth="1"/>
    <col min="5" max="5" width="11.2222222222222" customWidth="1"/>
    <col min="7" max="7" width="11.2222222222222" customWidth="1"/>
  </cols>
  <sheetData>
    <row r="1" spans="10:10">
      <c r="J1" s="10"/>
    </row>
    <row r="2" ht="21" spans="2:2">
      <c r="B2" s="1" t="s">
        <v>92</v>
      </c>
    </row>
    <row r="4" ht="15.6" spans="2:4">
      <c r="B4" s="2" t="s">
        <v>93</v>
      </c>
      <c r="C4" s="2" t="s">
        <v>94</v>
      </c>
      <c r="D4" s="2" t="s">
        <v>95</v>
      </c>
    </row>
    <row r="5" spans="2:7">
      <c r="B5" s="32" t="s">
        <v>96</v>
      </c>
      <c r="C5" s="16">
        <v>110000</v>
      </c>
      <c r="D5" s="52" t="str">
        <f>IF(C5&gt;=90000,"ДА","нет")</f>
        <v>ДА</v>
      </c>
      <c r="F5" s="7"/>
      <c r="G5" s="9"/>
    </row>
    <row r="6" spans="2:7">
      <c r="B6" s="32" t="s">
        <v>97</v>
      </c>
      <c r="C6" s="16">
        <v>113000</v>
      </c>
      <c r="D6" s="52" t="str">
        <f t="shared" ref="D6:D15" si="0">IF(C6&gt;=90000,"ДА","нет")</f>
        <v>ДА</v>
      </c>
      <c r="F6" s="7"/>
      <c r="G6" s="9"/>
    </row>
    <row r="7" spans="2:7">
      <c r="B7" s="32" t="s">
        <v>98</v>
      </c>
      <c r="C7" s="16">
        <v>106000</v>
      </c>
      <c r="D7" s="52" t="str">
        <f t="shared" si="0"/>
        <v>ДА</v>
      </c>
      <c r="F7" s="7"/>
      <c r="G7" s="9"/>
    </row>
    <row r="8" spans="2:7">
      <c r="B8" s="32" t="s">
        <v>99</v>
      </c>
      <c r="C8" s="16">
        <v>84000</v>
      </c>
      <c r="D8" s="52" t="str">
        <f t="shared" si="0"/>
        <v>нет</v>
      </c>
      <c r="F8" s="7"/>
      <c r="G8" s="9"/>
    </row>
    <row r="9" spans="2:7">
      <c r="B9" s="32" t="s">
        <v>100</v>
      </c>
      <c r="C9" s="16">
        <v>134000</v>
      </c>
      <c r="D9" s="52" t="str">
        <f t="shared" si="0"/>
        <v>ДА</v>
      </c>
      <c r="F9" s="7"/>
      <c r="G9" s="9"/>
    </row>
    <row r="10" spans="2:7">
      <c r="B10" s="32" t="s">
        <v>101</v>
      </c>
      <c r="C10" s="16">
        <v>51000</v>
      </c>
      <c r="D10" s="52" t="str">
        <f t="shared" si="0"/>
        <v>нет</v>
      </c>
      <c r="F10" s="7"/>
      <c r="G10" s="9"/>
    </row>
    <row r="11" spans="2:7">
      <c r="B11" s="32" t="s">
        <v>102</v>
      </c>
      <c r="C11" s="16">
        <v>83000</v>
      </c>
      <c r="D11" s="52" t="str">
        <f t="shared" si="0"/>
        <v>нет</v>
      </c>
      <c r="F11" s="7"/>
      <c r="G11" s="9"/>
    </row>
    <row r="12" spans="2:7">
      <c r="B12" s="32" t="s">
        <v>103</v>
      </c>
      <c r="C12" s="16">
        <v>75000</v>
      </c>
      <c r="D12" s="52" t="str">
        <f t="shared" si="0"/>
        <v>нет</v>
      </c>
      <c r="F12" s="7"/>
      <c r="G12" s="9"/>
    </row>
    <row r="13" spans="2:7">
      <c r="B13" s="32" t="s">
        <v>104</v>
      </c>
      <c r="C13" s="16">
        <v>92000</v>
      </c>
      <c r="D13" s="52" t="str">
        <f t="shared" si="0"/>
        <v>ДА</v>
      </c>
      <c r="F13" s="7"/>
      <c r="G13" s="9"/>
    </row>
    <row r="14" spans="2:6">
      <c r="B14" s="33" t="s">
        <v>105</v>
      </c>
      <c r="C14" s="16">
        <v>99000</v>
      </c>
      <c r="D14" s="52" t="str">
        <f t="shared" si="0"/>
        <v>ДА</v>
      </c>
      <c r="F14" s="7"/>
    </row>
    <row r="15" spans="2:6">
      <c r="B15" s="33" t="s">
        <v>106</v>
      </c>
      <c r="C15" s="16">
        <v>61000</v>
      </c>
      <c r="D15" s="52" t="str">
        <f t="shared" si="0"/>
        <v>нет</v>
      </c>
      <c r="F15" s="7"/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K29" sqref="K29"/>
    </sheetView>
  </sheetViews>
  <sheetFormatPr defaultColWidth="9" defaultRowHeight="14.4"/>
  <cols>
    <col min="2" max="2" width="11.1111111111111" customWidth="1"/>
    <col min="3" max="3" width="13.7777777777778" customWidth="1"/>
    <col min="4" max="4" width="6.33333333333333" customWidth="1"/>
    <col min="5" max="5" width="11.2222222222222" customWidth="1"/>
    <col min="6" max="6" width="13.7777777777778" customWidth="1"/>
    <col min="7" max="7" width="11.2222222222222" customWidth="1"/>
    <col min="9" max="9" width="11.2222222222222" customWidth="1"/>
  </cols>
  <sheetData>
    <row r="1" spans="10:10">
      <c r="J1" s="10"/>
    </row>
    <row r="2" ht="21" spans="2:5">
      <c r="B2" s="1" t="s">
        <v>107</v>
      </c>
      <c r="D2" s="34"/>
      <c r="E2" s="34" t="s">
        <v>108</v>
      </c>
    </row>
    <row r="3" spans="3:6">
      <c r="C3" s="7"/>
      <c r="D3" s="7"/>
      <c r="E3" s="7"/>
      <c r="F3" s="7"/>
    </row>
    <row r="4" ht="15.6" spans="2:6">
      <c r="B4" s="2" t="s">
        <v>109</v>
      </c>
      <c r="C4" s="2" t="s">
        <v>107</v>
      </c>
      <c r="D4" s="7"/>
      <c r="E4" s="2" t="s">
        <v>110</v>
      </c>
      <c r="F4" s="2" t="s">
        <v>108</v>
      </c>
    </row>
    <row r="5" spans="2:9">
      <c r="B5" s="4">
        <v>80</v>
      </c>
      <c r="C5" s="4" t="b">
        <f>AND(B5&gt;100,B5&lt;130)</f>
        <v>0</v>
      </c>
      <c r="D5" s="7"/>
      <c r="E5" s="4" t="s">
        <v>111</v>
      </c>
      <c r="F5" s="4" t="b">
        <f>OR(E5="Красный",E5="Синий")</f>
        <v>1</v>
      </c>
      <c r="G5" s="7"/>
      <c r="I5" s="9"/>
    </row>
    <row r="6" spans="2:7">
      <c r="B6" s="4">
        <v>110</v>
      </c>
      <c r="C6" s="4" t="b">
        <f t="shared" ref="C6:C14" si="0">AND(B6&gt;100,B6&lt;130)</f>
        <v>1</v>
      </c>
      <c r="D6" s="7"/>
      <c r="E6" s="4" t="s">
        <v>112</v>
      </c>
      <c r="F6" s="4" t="b">
        <f t="shared" ref="F6:F14" si="1">OR(E6="Красный",E6="Синий")</f>
        <v>1</v>
      </c>
      <c r="G6" s="7"/>
    </row>
    <row r="7" spans="2:7">
      <c r="B7" s="4">
        <v>80</v>
      </c>
      <c r="C7" s="4" t="b">
        <f t="shared" si="0"/>
        <v>0</v>
      </c>
      <c r="D7" s="7"/>
      <c r="E7" s="4" t="s">
        <v>111</v>
      </c>
      <c r="F7" s="4" t="b">
        <f t="shared" si="1"/>
        <v>1</v>
      </c>
      <c r="G7" s="7"/>
    </row>
    <row r="8" spans="2:7">
      <c r="B8" s="4">
        <v>110</v>
      </c>
      <c r="C8" s="4" t="b">
        <f t="shared" si="0"/>
        <v>1</v>
      </c>
      <c r="D8" s="7"/>
      <c r="E8" s="4" t="s">
        <v>113</v>
      </c>
      <c r="F8" s="4" t="b">
        <f t="shared" si="1"/>
        <v>0</v>
      </c>
      <c r="G8" s="7"/>
    </row>
    <row r="9" spans="2:7">
      <c r="B9" s="4">
        <v>60</v>
      </c>
      <c r="C9" s="4" t="b">
        <f t="shared" si="0"/>
        <v>0</v>
      </c>
      <c r="D9" s="7"/>
      <c r="E9" s="4" t="s">
        <v>112</v>
      </c>
      <c r="F9" s="4" t="b">
        <f t="shared" si="1"/>
        <v>1</v>
      </c>
      <c r="G9" s="7"/>
    </row>
    <row r="10" spans="2:9">
      <c r="B10" s="4">
        <v>80</v>
      </c>
      <c r="C10" s="4" t="b">
        <f t="shared" si="0"/>
        <v>0</v>
      </c>
      <c r="D10" s="7"/>
      <c r="E10" s="4" t="s">
        <v>114</v>
      </c>
      <c r="F10" s="4" t="b">
        <f t="shared" si="1"/>
        <v>0</v>
      </c>
      <c r="G10" s="7"/>
      <c r="I10" s="9"/>
    </row>
    <row r="11" spans="2:9">
      <c r="B11" s="4">
        <v>110</v>
      </c>
      <c r="C11" s="4" t="b">
        <f t="shared" si="0"/>
        <v>1</v>
      </c>
      <c r="D11" s="7"/>
      <c r="E11" s="4" t="s">
        <v>112</v>
      </c>
      <c r="F11" s="4" t="b">
        <f t="shared" si="1"/>
        <v>1</v>
      </c>
      <c r="G11" s="7"/>
      <c r="I11" s="9"/>
    </row>
    <row r="12" spans="2:9">
      <c r="B12" s="4">
        <v>120</v>
      </c>
      <c r="C12" s="4" t="b">
        <f t="shared" si="0"/>
        <v>1</v>
      </c>
      <c r="D12" s="7"/>
      <c r="E12" s="4" t="s">
        <v>112</v>
      </c>
      <c r="F12" s="4" t="b">
        <f t="shared" si="1"/>
        <v>1</v>
      </c>
      <c r="G12" s="7"/>
      <c r="I12" s="9"/>
    </row>
    <row r="13" spans="2:9">
      <c r="B13" s="4">
        <v>70</v>
      </c>
      <c r="C13" s="4" t="b">
        <f t="shared" si="0"/>
        <v>0</v>
      </c>
      <c r="D13" s="7"/>
      <c r="E13" s="4" t="s">
        <v>113</v>
      </c>
      <c r="F13" s="4" t="b">
        <f t="shared" si="1"/>
        <v>0</v>
      </c>
      <c r="G13" s="7"/>
      <c r="I13" s="9"/>
    </row>
    <row r="14" spans="2:7">
      <c r="B14" s="4">
        <v>140</v>
      </c>
      <c r="C14" s="4" t="b">
        <f t="shared" si="0"/>
        <v>0</v>
      </c>
      <c r="D14" s="7"/>
      <c r="E14" s="4" t="s">
        <v>114</v>
      </c>
      <c r="F14" s="4" t="b">
        <f t="shared" si="1"/>
        <v>0</v>
      </c>
      <c r="G14" s="7"/>
    </row>
    <row r="15" spans="4:4">
      <c r="D15" s="7"/>
    </row>
  </sheetData>
  <conditionalFormatting sqref="C5:C14">
    <cfRule type="cellIs" dxfId="0" priority="2" operator="equal">
      <formula>TRUE</formula>
    </cfRule>
  </conditionalFormatting>
  <conditionalFormatting sqref="F5:F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7" sqref="H7"/>
    </sheetView>
  </sheetViews>
  <sheetFormatPr defaultColWidth="9" defaultRowHeight="14.4"/>
  <cols>
    <col min="2" max="2" width="17.6666666666667" customWidth="1"/>
    <col min="3" max="3" width="10.2222222222222" customWidth="1"/>
    <col min="4" max="4" width="15.8888888888889" customWidth="1"/>
    <col min="5" max="5" width="14.6666666666667" customWidth="1"/>
    <col min="6" max="6" width="5.44444444444444" customWidth="1"/>
    <col min="7" max="7" width="19.6666666666667" customWidth="1"/>
    <col min="8" max="8" width="10.4444444444444" customWidth="1"/>
  </cols>
  <sheetData>
    <row r="1" spans="10:10">
      <c r="J1" s="10"/>
    </row>
    <row r="2" ht="21" spans="2:5">
      <c r="B2" s="1" t="s">
        <v>115</v>
      </c>
      <c r="C2" s="34"/>
      <c r="D2" s="35"/>
      <c r="E2" s="35"/>
    </row>
    <row r="3" spans="4:5">
      <c r="D3" s="7"/>
      <c r="E3" s="7"/>
    </row>
    <row r="4" ht="15.6" spans="2:8">
      <c r="B4" s="2" t="s">
        <v>116</v>
      </c>
      <c r="C4" s="2" t="s">
        <v>117</v>
      </c>
      <c r="D4" s="2" t="s">
        <v>118</v>
      </c>
      <c r="E4" s="20" t="s">
        <v>119</v>
      </c>
      <c r="G4" s="14" t="s">
        <v>120</v>
      </c>
      <c r="H4" s="14" t="s">
        <v>109</v>
      </c>
    </row>
    <row r="5" spans="2:8">
      <c r="B5" s="4" t="s">
        <v>121</v>
      </c>
      <c r="C5" s="16">
        <v>5500</v>
      </c>
      <c r="D5" s="44">
        <v>4.53</v>
      </c>
      <c r="E5" s="4" t="s">
        <v>122</v>
      </c>
      <c r="G5" s="4" t="s">
        <v>123</v>
      </c>
      <c r="H5" s="29">
        <f>COUNTIF(C5:C13,"&lt;5000")</f>
        <v>6</v>
      </c>
    </row>
    <row r="6" spans="2:8">
      <c r="B6" s="4" t="s">
        <v>124</v>
      </c>
      <c r="C6" s="16">
        <v>1800</v>
      </c>
      <c r="D6" s="44">
        <v>4.84</v>
      </c>
      <c r="E6" s="4" t="s">
        <v>125</v>
      </c>
      <c r="G6" s="4" t="s">
        <v>126</v>
      </c>
      <c r="H6" s="29">
        <f>COUNTIF(D5:D13,"&gt;=4")</f>
        <v>4</v>
      </c>
    </row>
    <row r="7" spans="2:8">
      <c r="B7" s="4" t="s">
        <v>127</v>
      </c>
      <c r="C7" s="16">
        <v>2500</v>
      </c>
      <c r="D7" s="44">
        <v>2.3</v>
      </c>
      <c r="E7" s="4" t="s">
        <v>125</v>
      </c>
      <c r="G7" s="4" t="s">
        <v>128</v>
      </c>
      <c r="H7" s="29">
        <f>COUNTIF(E5:E13,"ДА")</f>
        <v>3</v>
      </c>
    </row>
    <row r="8" spans="2:7">
      <c r="B8" s="4" t="s">
        <v>129</v>
      </c>
      <c r="C8" s="16">
        <v>4900</v>
      </c>
      <c r="D8" s="44">
        <v>2.1</v>
      </c>
      <c r="E8" s="4" t="s">
        <v>122</v>
      </c>
      <c r="G8" s="7"/>
    </row>
    <row r="9" spans="2:7">
      <c r="B9" s="4" t="s">
        <v>130</v>
      </c>
      <c r="C9" s="16">
        <v>4800</v>
      </c>
      <c r="D9" s="44">
        <v>1.23</v>
      </c>
      <c r="E9" s="4" t="s">
        <v>122</v>
      </c>
      <c r="G9" s="7"/>
    </row>
    <row r="10" spans="2:7">
      <c r="B10" s="41" t="s">
        <v>131</v>
      </c>
      <c r="C10" s="16">
        <v>5700</v>
      </c>
      <c r="D10" s="44">
        <v>4.34</v>
      </c>
      <c r="E10" s="4" t="s">
        <v>125</v>
      </c>
      <c r="G10" s="7"/>
    </row>
    <row r="11" spans="2:5">
      <c r="B11" s="4" t="s">
        <v>132</v>
      </c>
      <c r="C11" s="16">
        <v>2400</v>
      </c>
      <c r="D11" s="44">
        <v>2.26</v>
      </c>
      <c r="E11" s="4" t="s">
        <v>125</v>
      </c>
    </row>
    <row r="12" spans="2:7">
      <c r="B12" s="4" t="s">
        <v>133</v>
      </c>
      <c r="C12" s="16">
        <v>3300</v>
      </c>
      <c r="D12" s="44">
        <v>4.8</v>
      </c>
      <c r="E12" s="4" t="s">
        <v>125</v>
      </c>
      <c r="G12" s="7"/>
    </row>
    <row r="13" spans="2:7">
      <c r="B13" s="4" t="s">
        <v>134</v>
      </c>
      <c r="C13" s="16">
        <v>6200</v>
      </c>
      <c r="D13" s="44">
        <v>3.24</v>
      </c>
      <c r="E13" s="4" t="s">
        <v>125</v>
      </c>
      <c r="G13" s="7"/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H5" sqref="H5"/>
    </sheetView>
  </sheetViews>
  <sheetFormatPr defaultColWidth="9" defaultRowHeight="14.4"/>
  <cols>
    <col min="2" max="2" width="16.7777777777778" customWidth="1"/>
    <col min="3" max="3" width="16.5555555555556" customWidth="1"/>
    <col min="4" max="4" width="17.3333333333333" customWidth="1"/>
    <col min="5" max="5" width="8.11111111111111" customWidth="1"/>
    <col min="6" max="6" width="8.66666666666667" customWidth="1"/>
    <col min="7" max="7" width="14.5555555555556" customWidth="1"/>
    <col min="8" max="8" width="11.2222222222222" customWidth="1"/>
  </cols>
  <sheetData>
    <row r="1" spans="10:10">
      <c r="J1" s="10"/>
    </row>
    <row r="2" ht="21" spans="2:4">
      <c r="B2" s="1" t="s">
        <v>135</v>
      </c>
      <c r="C2" s="34"/>
      <c r="D2" s="35"/>
    </row>
    <row r="3" spans="4:4">
      <c r="D3" s="7"/>
    </row>
    <row r="4" ht="15.6" spans="2:8">
      <c r="B4" s="2" t="s">
        <v>136</v>
      </c>
      <c r="C4" s="2" t="s">
        <v>137</v>
      </c>
      <c r="D4" s="2" t="s">
        <v>138</v>
      </c>
      <c r="G4" s="50" t="s">
        <v>136</v>
      </c>
      <c r="H4" s="50" t="s">
        <v>5</v>
      </c>
    </row>
    <row r="5" spans="2:11">
      <c r="B5" s="24" t="s">
        <v>139</v>
      </c>
      <c r="C5" s="4" t="s">
        <v>140</v>
      </c>
      <c r="D5" s="25">
        <v>17000</v>
      </c>
      <c r="G5" s="4" t="s">
        <v>139</v>
      </c>
      <c r="H5" s="6">
        <f>SUMIF(B5:B13,G5,D5:D13)</f>
        <v>33000</v>
      </c>
      <c r="K5" s="7"/>
    </row>
    <row r="6" spans="2:11">
      <c r="B6" s="24" t="s">
        <v>141</v>
      </c>
      <c r="C6" s="4" t="s">
        <v>142</v>
      </c>
      <c r="D6" s="25">
        <v>14000</v>
      </c>
      <c r="K6" s="7"/>
    </row>
    <row r="7" spans="2:11">
      <c r="B7" s="24" t="s">
        <v>139</v>
      </c>
      <c r="C7" s="41" t="s">
        <v>142</v>
      </c>
      <c r="D7" s="25">
        <v>8000</v>
      </c>
      <c r="K7" s="7"/>
    </row>
    <row r="8" spans="2:11">
      <c r="B8" s="24" t="s">
        <v>143</v>
      </c>
      <c r="C8" s="4" t="s">
        <v>140</v>
      </c>
      <c r="D8" s="25">
        <v>13000</v>
      </c>
      <c r="K8" s="7"/>
    </row>
    <row r="9" spans="2:11">
      <c r="B9" s="24" t="s">
        <v>144</v>
      </c>
      <c r="C9" s="4" t="s">
        <v>140</v>
      </c>
      <c r="D9" s="25">
        <v>9000</v>
      </c>
      <c r="K9" s="7"/>
    </row>
    <row r="10" spans="2:11">
      <c r="B10" s="51" t="s">
        <v>145</v>
      </c>
      <c r="C10" s="41" t="s">
        <v>142</v>
      </c>
      <c r="D10" s="25">
        <v>22000</v>
      </c>
      <c r="K10" s="7"/>
    </row>
    <row r="11" spans="2:4">
      <c r="B11" s="24" t="s">
        <v>139</v>
      </c>
      <c r="C11" s="4" t="s">
        <v>142</v>
      </c>
      <c r="D11" s="25">
        <v>8000</v>
      </c>
    </row>
    <row r="12" spans="2:11">
      <c r="B12" s="24" t="s">
        <v>143</v>
      </c>
      <c r="C12" s="4" t="s">
        <v>140</v>
      </c>
      <c r="D12" s="25">
        <v>14000</v>
      </c>
      <c r="K12" s="7"/>
    </row>
    <row r="13" spans="2:11">
      <c r="B13" s="24" t="s">
        <v>145</v>
      </c>
      <c r="C13" s="4" t="s">
        <v>146</v>
      </c>
      <c r="D13" s="25">
        <v>16000</v>
      </c>
      <c r="K13" s="7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7" sqref="H7"/>
    </sheetView>
  </sheetViews>
  <sheetFormatPr defaultColWidth="9" defaultRowHeight="14.4"/>
  <cols>
    <col min="2" max="3" width="10.2222222222222" customWidth="1"/>
    <col min="4" max="4" width="11" customWidth="1"/>
    <col min="5" max="5" width="13.6666666666667" customWidth="1"/>
    <col min="6" max="6" width="5.44444444444444" customWidth="1"/>
    <col min="7" max="7" width="14.6666666666667" customWidth="1"/>
    <col min="8" max="8" width="10.4444444444444" customWidth="1"/>
  </cols>
  <sheetData>
    <row r="1" spans="10:10">
      <c r="J1" s="10"/>
    </row>
    <row r="2" ht="21" spans="2:5">
      <c r="B2" s="1" t="s">
        <v>147</v>
      </c>
      <c r="C2" s="34"/>
      <c r="D2" s="35"/>
      <c r="E2" s="35"/>
    </row>
    <row r="3" spans="4:5">
      <c r="D3" s="7"/>
      <c r="E3" s="7"/>
    </row>
    <row r="4" ht="15.6" spans="2:8">
      <c r="B4" s="2" t="s">
        <v>148</v>
      </c>
      <c r="C4" s="2" t="s">
        <v>149</v>
      </c>
      <c r="D4" s="2" t="s">
        <v>150</v>
      </c>
      <c r="E4" s="20" t="s">
        <v>151</v>
      </c>
      <c r="G4" s="14" t="s">
        <v>120</v>
      </c>
      <c r="H4" s="14" t="s">
        <v>152</v>
      </c>
    </row>
    <row r="5" spans="2:8">
      <c r="B5" s="4" t="s">
        <v>153</v>
      </c>
      <c r="C5" s="16">
        <v>6500</v>
      </c>
      <c r="D5" s="4" t="s">
        <v>122</v>
      </c>
      <c r="E5" s="4">
        <v>3</v>
      </c>
      <c r="G5" s="4" t="s">
        <v>154</v>
      </c>
      <c r="H5" s="21">
        <f>AVERAGEIF(C5:C13,"&gt;5000",C5:C13)</f>
        <v>6733.33333333333</v>
      </c>
    </row>
    <row r="6" spans="2:8">
      <c r="B6" s="4" t="s">
        <v>155</v>
      </c>
      <c r="C6" s="16">
        <v>4500</v>
      </c>
      <c r="D6" s="4" t="s">
        <v>125</v>
      </c>
      <c r="E6" s="4">
        <v>2</v>
      </c>
      <c r="G6" s="4" t="s">
        <v>156</v>
      </c>
      <c r="H6" s="21">
        <f>AVERAGEIF(E5:E13,"&gt;=2",C5:C13)</f>
        <v>4085.71428571429</v>
      </c>
    </row>
    <row r="7" spans="2:8">
      <c r="B7" s="4" t="s">
        <v>157</v>
      </c>
      <c r="C7" s="16">
        <v>4300</v>
      </c>
      <c r="D7" s="4" t="s">
        <v>125</v>
      </c>
      <c r="E7" s="4">
        <v>2</v>
      </c>
      <c r="G7" s="4" t="s">
        <v>158</v>
      </c>
      <c r="H7" s="21">
        <f>AVERAGEIF(D5:D13,"да",C5:C13)</f>
        <v>6125</v>
      </c>
    </row>
    <row r="8" spans="2:7">
      <c r="B8" s="4" t="s">
        <v>159</v>
      </c>
      <c r="C8" s="16">
        <v>6400</v>
      </c>
      <c r="D8" s="4" t="s">
        <v>122</v>
      </c>
      <c r="E8" s="4">
        <v>1</v>
      </c>
      <c r="G8" s="7"/>
    </row>
    <row r="9" spans="2:7">
      <c r="B9" s="4" t="s">
        <v>160</v>
      </c>
      <c r="C9" s="16">
        <v>7300</v>
      </c>
      <c r="D9" s="4" t="s">
        <v>122</v>
      </c>
      <c r="E9" s="4">
        <v>1</v>
      </c>
      <c r="G9" s="7"/>
    </row>
    <row r="10" spans="2:7">
      <c r="B10" s="41" t="s">
        <v>161</v>
      </c>
      <c r="C10" s="16">
        <v>3800</v>
      </c>
      <c r="D10" s="4" t="s">
        <v>125</v>
      </c>
      <c r="E10" s="4">
        <v>3</v>
      </c>
      <c r="G10" s="7"/>
    </row>
    <row r="11" spans="2:5">
      <c r="B11" s="4" t="s">
        <v>162</v>
      </c>
      <c r="C11" s="16">
        <v>4300</v>
      </c>
      <c r="D11" s="4" t="s">
        <v>122</v>
      </c>
      <c r="E11" s="4">
        <v>4</v>
      </c>
    </row>
    <row r="12" spans="2:7">
      <c r="B12" s="4" t="s">
        <v>163</v>
      </c>
      <c r="C12" s="16">
        <v>3700</v>
      </c>
      <c r="D12" s="4" t="s">
        <v>125</v>
      </c>
      <c r="E12" s="4">
        <v>2</v>
      </c>
      <c r="G12" s="7"/>
    </row>
    <row r="13" spans="2:7">
      <c r="B13" s="4" t="s">
        <v>164</v>
      </c>
      <c r="C13" s="16">
        <v>1500</v>
      </c>
      <c r="D13" s="4" t="s">
        <v>125</v>
      </c>
      <c r="E13" s="4">
        <v>2</v>
      </c>
      <c r="G13" s="7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workbookViewId="0">
      <selection activeCell="Q28" sqref="Q28"/>
    </sheetView>
  </sheetViews>
  <sheetFormatPr defaultColWidth="9" defaultRowHeight="14.4" outlineLevelCol="5"/>
  <cols>
    <col min="2" max="3" width="11.2222222222222" customWidth="1"/>
    <col min="4" max="4" width="6.44444444444444" customWidth="1"/>
    <col min="5" max="5" width="17.4444444444444" customWidth="1"/>
  </cols>
  <sheetData>
    <row r="2" ht="21" spans="2:5">
      <c r="B2" s="1" t="s">
        <v>165</v>
      </c>
      <c r="C2" s="1"/>
      <c r="D2" s="26" t="s">
        <v>166</v>
      </c>
      <c r="E2" s="35"/>
    </row>
    <row r="3" spans="5:5">
      <c r="E3" s="7"/>
    </row>
    <row r="4" ht="15.6" spans="2:5">
      <c r="B4" s="2" t="s">
        <v>167</v>
      </c>
      <c r="C4" s="2" t="s">
        <v>168</v>
      </c>
      <c r="E4" s="27" t="s">
        <v>169</v>
      </c>
    </row>
    <row r="5" spans="2:6">
      <c r="B5" s="4" t="s">
        <v>170</v>
      </c>
      <c r="C5" s="4">
        <v>58</v>
      </c>
      <c r="E5" s="28"/>
      <c r="F5" s="7"/>
    </row>
    <row r="6" spans="2:6">
      <c r="B6" s="4" t="s">
        <v>171</v>
      </c>
      <c r="C6" s="4">
        <v>30</v>
      </c>
      <c r="E6" s="29">
        <f>MIN(C5:C15)</f>
        <v>24</v>
      </c>
      <c r="F6" s="7"/>
    </row>
    <row r="7" ht="15.6" spans="1:6">
      <c r="A7" s="30"/>
      <c r="B7" s="4" t="s">
        <v>172</v>
      </c>
      <c r="C7" s="4">
        <v>37</v>
      </c>
      <c r="F7" s="7"/>
    </row>
    <row r="8" ht="15.6" spans="1:6">
      <c r="A8" s="30"/>
      <c r="B8" s="31" t="s">
        <v>173</v>
      </c>
      <c r="C8" s="4">
        <v>96</v>
      </c>
      <c r="E8" s="27" t="s">
        <v>174</v>
      </c>
      <c r="F8" s="7"/>
    </row>
    <row r="9" ht="15.6" spans="1:6">
      <c r="A9" s="30"/>
      <c r="B9" s="32" t="s">
        <v>175</v>
      </c>
      <c r="C9" s="4">
        <v>84</v>
      </c>
      <c r="E9" s="28"/>
      <c r="F9" s="7"/>
    </row>
    <row r="10" ht="15.6" spans="1:6">
      <c r="A10" s="30"/>
      <c r="B10" s="32" t="s">
        <v>176</v>
      </c>
      <c r="C10" s="4">
        <v>89</v>
      </c>
      <c r="E10" s="29">
        <f>MAX(C5:C15)</f>
        <v>96</v>
      </c>
      <c r="F10" s="7"/>
    </row>
    <row r="11" ht="15.6" spans="1:4">
      <c r="A11" s="30"/>
      <c r="B11" s="32" t="s">
        <v>177</v>
      </c>
      <c r="C11" s="4">
        <v>70</v>
      </c>
      <c r="D11" s="7"/>
    </row>
    <row r="12" ht="15.6" spans="1:6">
      <c r="A12" s="30"/>
      <c r="B12" s="32" t="s">
        <v>178</v>
      </c>
      <c r="C12" s="4">
        <v>24</v>
      </c>
      <c r="D12" s="7"/>
      <c r="F12" s="7"/>
    </row>
    <row r="13" ht="15.6" spans="1:6">
      <c r="A13" s="30"/>
      <c r="B13" s="33" t="s">
        <v>179</v>
      </c>
      <c r="C13" s="4">
        <v>62</v>
      </c>
      <c r="D13" s="7"/>
      <c r="F13" s="7"/>
    </row>
    <row r="14" spans="2:4">
      <c r="B14" s="4" t="s">
        <v>180</v>
      </c>
      <c r="C14" s="4">
        <v>78</v>
      </c>
      <c r="D14" s="7"/>
    </row>
    <row r="15" spans="2:3">
      <c r="B15" s="4" t="s">
        <v>181</v>
      </c>
      <c r="C15" s="4">
        <v>72</v>
      </c>
    </row>
  </sheetData>
  <mergeCells count="2">
    <mergeCell ref="E4:E5"/>
    <mergeCell ref="E8:E9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workbookViewId="0">
      <selection activeCell="C5" sqref="C5:C11"/>
    </sheetView>
  </sheetViews>
  <sheetFormatPr defaultColWidth="9" defaultRowHeight="14.4"/>
  <cols>
    <col min="2" max="2" width="37.3333333333333" customWidth="1"/>
    <col min="3" max="3" width="35.1111111111111" customWidth="1"/>
    <col min="4" max="4" width="26.5555555555556" customWidth="1"/>
    <col min="5" max="5" width="10.4444444444444" customWidth="1"/>
  </cols>
  <sheetData>
    <row r="1" spans="10:10">
      <c r="J1" s="10"/>
    </row>
    <row r="2" ht="21" spans="2:2">
      <c r="B2" s="1" t="s">
        <v>182</v>
      </c>
    </row>
    <row r="3" spans="3:3">
      <c r="C3" s="7"/>
    </row>
    <row r="4" ht="15.6" spans="2:3">
      <c r="B4" s="2" t="s">
        <v>183</v>
      </c>
      <c r="C4" s="2" t="s">
        <v>5</v>
      </c>
    </row>
    <row r="5" spans="2:3">
      <c r="B5" s="4" t="s">
        <v>184</v>
      </c>
      <c r="C5" s="29" t="str">
        <f>TRIM(B5)</f>
        <v>Лучшее - враг хорошего</v>
      </c>
    </row>
    <row r="6" spans="2:3">
      <c r="B6" s="4" t="s">
        <v>185</v>
      </c>
      <c r="C6" s="29" t="str">
        <f t="shared" ref="C6:C11" si="0">TRIM(B6)</f>
        <v>Семь раз отмерь - один раз отрежь</v>
      </c>
    </row>
    <row r="7" spans="2:3">
      <c r="B7" s="4" t="s">
        <v>186</v>
      </c>
      <c r="C7" s="29" t="str">
        <f t="shared" si="0"/>
        <v>Слово - не воробей</v>
      </c>
    </row>
    <row r="8" spans="2:3">
      <c r="B8" s="4" t="s">
        <v>187</v>
      </c>
      <c r="C8" s="29" t="str">
        <f t="shared" si="0"/>
        <v>Сделал дело - гуляй смело</v>
      </c>
    </row>
    <row r="9" spans="2:3">
      <c r="B9" s="4" t="s">
        <v>188</v>
      </c>
      <c r="C9" s="29" t="str">
        <f t="shared" si="0"/>
        <v>Цыплят по осени считают</v>
      </c>
    </row>
    <row r="10" spans="2:3">
      <c r="B10" s="41" t="s">
        <v>189</v>
      </c>
      <c r="C10" s="29" t="str">
        <f t="shared" si="0"/>
        <v>Береги честь смолоду</v>
      </c>
    </row>
    <row r="11" spans="2:3">
      <c r="B11" s="41" t="s">
        <v>190</v>
      </c>
      <c r="C11" s="29" t="str">
        <f t="shared" si="0"/>
        <v>Семеро одного не ждут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5" sqref="D5"/>
    </sheetView>
  </sheetViews>
  <sheetFormatPr defaultColWidth="9" defaultRowHeight="14.4"/>
  <cols>
    <col min="2" max="2" width="10.1111111111111" customWidth="1"/>
    <col min="3" max="3" width="28.2222222222222" customWidth="1"/>
    <col min="4" max="5" width="15.5555555555556" customWidth="1"/>
    <col min="6" max="6" width="5.44444444444444" customWidth="1"/>
    <col min="7" max="7" width="26.5555555555556" customWidth="1"/>
    <col min="8" max="8" width="10.4444444444444" customWidth="1"/>
  </cols>
  <sheetData>
    <row r="1" spans="10:10">
      <c r="J1" s="10"/>
    </row>
    <row r="2" ht="21" spans="2:4">
      <c r="B2" s="1" t="s">
        <v>191</v>
      </c>
      <c r="D2" s="26"/>
    </row>
    <row r="3" spans="4:5">
      <c r="D3" s="7"/>
      <c r="E3" s="7"/>
    </row>
    <row r="4" ht="31.2" spans="2:5">
      <c r="B4" s="2" t="s">
        <v>192</v>
      </c>
      <c r="C4" s="2" t="s">
        <v>183</v>
      </c>
      <c r="D4" s="39" t="s">
        <v>193</v>
      </c>
      <c r="E4" s="39" t="s">
        <v>194</v>
      </c>
    </row>
    <row r="5" spans="2:6">
      <c r="B5" s="4" t="s">
        <v>195</v>
      </c>
      <c r="C5" s="49" t="s">
        <v>196</v>
      </c>
      <c r="D5" s="29">
        <f>SEARCH(B5,C5)</f>
        <v>1</v>
      </c>
      <c r="E5" s="29">
        <f>FIND(B5,C5)</f>
        <v>1</v>
      </c>
      <c r="F5" s="7" t="s">
        <v>197</v>
      </c>
    </row>
    <row r="6" spans="2:6">
      <c r="B6" s="4" t="s">
        <v>198</v>
      </c>
      <c r="C6" s="16" t="s">
        <v>199</v>
      </c>
      <c r="D6" s="29">
        <f>SEARCH(B6,C6)</f>
        <v>3</v>
      </c>
      <c r="E6" s="29">
        <f t="shared" ref="E6:E15" si="0">FIND(B6,C6)</f>
        <v>3</v>
      </c>
      <c r="F6" s="7" t="s">
        <v>200</v>
      </c>
    </row>
    <row r="7" spans="2:6">
      <c r="B7" s="4" t="s">
        <v>201</v>
      </c>
      <c r="C7" s="16" t="s">
        <v>202</v>
      </c>
      <c r="D7" s="29">
        <f t="shared" ref="D6:D15" si="1">SEARCH(B7,C7)</f>
        <v>6</v>
      </c>
      <c r="E7" s="29">
        <f t="shared" si="0"/>
        <v>6</v>
      </c>
      <c r="F7" s="7" t="s">
        <v>203</v>
      </c>
    </row>
    <row r="8" spans="2:6">
      <c r="B8" s="4" t="s">
        <v>204</v>
      </c>
      <c r="C8" s="49" t="s">
        <v>205</v>
      </c>
      <c r="D8" s="29">
        <f t="shared" si="1"/>
        <v>1</v>
      </c>
      <c r="E8" s="29">
        <f t="shared" si="0"/>
        <v>12</v>
      </c>
      <c r="F8" s="7" t="s">
        <v>206</v>
      </c>
    </row>
    <row r="9" spans="2:6">
      <c r="B9" s="4" t="s">
        <v>207</v>
      </c>
      <c r="C9" s="49" t="s">
        <v>208</v>
      </c>
      <c r="D9" s="29">
        <f t="shared" si="1"/>
        <v>1</v>
      </c>
      <c r="E9" s="29">
        <f t="shared" si="0"/>
        <v>1</v>
      </c>
      <c r="F9" s="7" t="s">
        <v>206</v>
      </c>
    </row>
    <row r="10" spans="2:6">
      <c r="B10" s="41" t="s">
        <v>198</v>
      </c>
      <c r="C10" s="16" t="s">
        <v>209</v>
      </c>
      <c r="D10" s="29" t="e">
        <f t="shared" si="1"/>
        <v>#VALUE!</v>
      </c>
      <c r="E10" s="29" t="e">
        <f t="shared" si="0"/>
        <v>#VALUE!</v>
      </c>
      <c r="F10" s="7" t="s">
        <v>210</v>
      </c>
    </row>
    <row r="11" spans="2:6">
      <c r="B11" s="41" t="s">
        <v>211</v>
      </c>
      <c r="C11" s="49" t="s">
        <v>212</v>
      </c>
      <c r="D11" s="29">
        <f t="shared" si="1"/>
        <v>1</v>
      </c>
      <c r="E11" s="29" t="e">
        <f t="shared" si="0"/>
        <v>#VALUE!</v>
      </c>
      <c r="F11" s="7" t="s">
        <v>213</v>
      </c>
    </row>
    <row r="12" spans="2:6">
      <c r="B12" s="4"/>
      <c r="C12" s="16" t="s">
        <v>209</v>
      </c>
      <c r="D12" s="29">
        <f t="shared" si="1"/>
        <v>1</v>
      </c>
      <c r="E12" s="29">
        <f t="shared" si="0"/>
        <v>1</v>
      </c>
      <c r="F12" s="7" t="s">
        <v>214</v>
      </c>
    </row>
    <row r="13" spans="2:6">
      <c r="B13" s="4" t="s">
        <v>215</v>
      </c>
      <c r="C13" s="16" t="s">
        <v>216</v>
      </c>
      <c r="D13" s="29">
        <f t="shared" si="1"/>
        <v>7</v>
      </c>
      <c r="E13" s="29">
        <f t="shared" si="0"/>
        <v>7</v>
      </c>
      <c r="F13" s="7" t="s">
        <v>217</v>
      </c>
    </row>
    <row r="14" spans="2:6">
      <c r="B14" s="4" t="s">
        <v>218</v>
      </c>
      <c r="C14" s="16" t="s">
        <v>219</v>
      </c>
      <c r="D14" s="29">
        <f t="shared" si="1"/>
        <v>4</v>
      </c>
      <c r="E14" s="29">
        <f t="shared" si="0"/>
        <v>4</v>
      </c>
      <c r="F14" s="7" t="s">
        <v>220</v>
      </c>
    </row>
    <row r="15" spans="2:6">
      <c r="B15" s="41">
        <v>3</v>
      </c>
      <c r="C15" s="4">
        <v>131111</v>
      </c>
      <c r="D15" s="29">
        <f t="shared" si="1"/>
        <v>2</v>
      </c>
      <c r="E15" s="29">
        <f t="shared" si="0"/>
        <v>2</v>
      </c>
      <c r="F15" s="7" t="s">
        <v>221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workbookViewId="0">
      <selection activeCell="C9" sqref="C9"/>
    </sheetView>
  </sheetViews>
  <sheetFormatPr defaultColWidth="9" defaultRowHeight="14.4" outlineLevelRow="7" outlineLevelCol="4"/>
  <cols>
    <col min="2" max="2" width="19.3333333333333" customWidth="1"/>
    <col min="3" max="3" width="15.7777777777778" customWidth="1"/>
    <col min="4" max="4" width="29.5555555555556" customWidth="1"/>
    <col min="5" max="5" width="25.2222222222222" customWidth="1"/>
    <col min="6" max="6" width="26.5555555555556" customWidth="1"/>
    <col min="7" max="7" width="10.4444444444444" customWidth="1"/>
  </cols>
  <sheetData>
    <row r="2" ht="21" spans="2:4">
      <c r="B2" s="26" t="s">
        <v>222</v>
      </c>
      <c r="C2" s="26"/>
      <c r="D2" s="1"/>
    </row>
    <row r="3" spans="4:4">
      <c r="D3" s="7"/>
    </row>
    <row r="4" ht="15.6" spans="2:5">
      <c r="B4" s="2" t="s">
        <v>223</v>
      </c>
      <c r="C4" s="2" t="s">
        <v>224</v>
      </c>
      <c r="D4" s="2" t="s">
        <v>11</v>
      </c>
      <c r="E4" s="2" t="s">
        <v>225</v>
      </c>
    </row>
    <row r="5" spans="2:5">
      <c r="B5" s="4" t="s">
        <v>226</v>
      </c>
      <c r="C5" s="21" t="str">
        <f>SUBSTITUTE(B5,"у","о")</f>
        <v>Стол</v>
      </c>
      <c r="D5" s="47" t="s">
        <v>227</v>
      </c>
      <c r="E5" s="16" t="s">
        <v>228</v>
      </c>
    </row>
    <row r="6" spans="2:5">
      <c r="B6" s="4" t="s">
        <v>229</v>
      </c>
      <c r="C6" s="21" t="str">
        <f>SUBSTITUTE(B6,"о","и",2)</f>
        <v>Помидор</v>
      </c>
      <c r="D6" s="47" t="s">
        <v>230</v>
      </c>
      <c r="E6" s="16" t="s">
        <v>231</v>
      </c>
    </row>
    <row r="7" spans="2:5">
      <c r="B7" s="4" t="s">
        <v>232</v>
      </c>
      <c r="C7" s="21" t="str">
        <f>SUBSTITUTE(B7,"кот","тигр")</f>
        <v>Кот, тигр</v>
      </c>
      <c r="D7" s="47" t="s">
        <v>233</v>
      </c>
      <c r="E7" s="16" t="s">
        <v>234</v>
      </c>
    </row>
    <row r="8" spans="2:5">
      <c r="B8" s="4" t="s">
        <v>235</v>
      </c>
      <c r="C8" s="21" t="str">
        <f>SUBSTITUTE(B8,"#","")</f>
        <v>1825</v>
      </c>
      <c r="D8" s="47" t="s">
        <v>236</v>
      </c>
      <c r="E8" s="16" t="s">
        <v>237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C5" sqref="C5:C16"/>
    </sheetView>
  </sheetViews>
  <sheetFormatPr defaultColWidth="9" defaultRowHeight="14.4" outlineLevelCol="7"/>
  <cols>
    <col min="2" max="2" width="20" customWidth="1"/>
    <col min="3" max="3" width="20.3333333333333" customWidth="1"/>
    <col min="4" max="4" width="8" customWidth="1"/>
    <col min="6" max="6" width="11.2222222222222" customWidth="1"/>
    <col min="8" max="8" width="11.2222222222222" customWidth="1"/>
  </cols>
  <sheetData>
    <row r="2" ht="21" customHeight="1" spans="2:2">
      <c r="B2" s="1" t="s">
        <v>238</v>
      </c>
    </row>
    <row r="4" ht="15.6" spans="2:3">
      <c r="B4" s="2" t="s">
        <v>239</v>
      </c>
      <c r="C4" s="2" t="s">
        <v>240</v>
      </c>
    </row>
    <row r="5" spans="2:8">
      <c r="B5" s="32" t="s">
        <v>241</v>
      </c>
      <c r="C5" s="29" t="str">
        <f>REPLACE(B5,5,4,"2026")</f>
        <v>ФГС-2026-01</v>
      </c>
      <c r="F5" s="48"/>
      <c r="H5" s="9"/>
    </row>
    <row r="6" spans="2:8">
      <c r="B6" s="32" t="s">
        <v>242</v>
      </c>
      <c r="C6" s="29" t="str">
        <f t="shared" ref="C6:C16" si="0">REPLACE(B6,5,4,"2026")</f>
        <v>ФГС-2026-02</v>
      </c>
      <c r="H6" s="9"/>
    </row>
    <row r="7" spans="2:8">
      <c r="B7" s="32" t="s">
        <v>243</v>
      </c>
      <c r="C7" s="29" t="str">
        <f t="shared" si="0"/>
        <v>ФГС-2026-03</v>
      </c>
      <c r="H7" s="9"/>
    </row>
    <row r="8" spans="2:8">
      <c r="B8" s="32" t="s">
        <v>244</v>
      </c>
      <c r="C8" s="29" t="str">
        <f t="shared" si="0"/>
        <v>ААБ-2026-001</v>
      </c>
      <c r="H8" s="9"/>
    </row>
    <row r="9" spans="2:8">
      <c r="B9" s="32" t="s">
        <v>245</v>
      </c>
      <c r="C9" s="29" t="str">
        <f t="shared" si="0"/>
        <v>ААБ-2026-002</v>
      </c>
      <c r="H9" s="9"/>
    </row>
    <row r="10" spans="2:8">
      <c r="B10" s="32" t="s">
        <v>246</v>
      </c>
      <c r="C10" s="29" t="str">
        <f t="shared" si="0"/>
        <v>ААБ-2026-003</v>
      </c>
      <c r="H10" s="9"/>
    </row>
    <row r="11" spans="2:8">
      <c r="B11" s="32" t="s">
        <v>247</v>
      </c>
      <c r="C11" s="29" t="str">
        <f t="shared" si="0"/>
        <v>ААБ-2026-004</v>
      </c>
      <c r="H11" s="9"/>
    </row>
    <row r="12" spans="2:8">
      <c r="B12" s="32" t="s">
        <v>248</v>
      </c>
      <c r="C12" s="29" t="str">
        <f t="shared" si="0"/>
        <v>НАР-2026-875</v>
      </c>
      <c r="H12" s="9"/>
    </row>
    <row r="13" spans="2:8">
      <c r="B13" s="32" t="s">
        <v>249</v>
      </c>
      <c r="C13" s="29" t="str">
        <f t="shared" si="0"/>
        <v>НАР-2026-876</v>
      </c>
      <c r="H13" s="9"/>
    </row>
    <row r="14" spans="2:3">
      <c r="B14" s="32" t="s">
        <v>250</v>
      </c>
      <c r="C14" s="29" t="str">
        <f t="shared" si="0"/>
        <v>НАР-2026-877</v>
      </c>
    </row>
    <row r="15" spans="2:3">
      <c r="B15" s="32" t="s">
        <v>251</v>
      </c>
      <c r="C15" s="29" t="str">
        <f t="shared" si="0"/>
        <v>ПУИ-2026-003</v>
      </c>
    </row>
    <row r="16" spans="2:3">
      <c r="B16" s="32" t="s">
        <v>252</v>
      </c>
      <c r="C16" s="29" t="str">
        <f t="shared" si="0"/>
        <v>ПУИ-2026-004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C15" sqref="C15"/>
    </sheetView>
  </sheetViews>
  <sheetFormatPr defaultColWidth="9" defaultRowHeight="14.4" outlineLevelCol="4"/>
  <cols>
    <col min="2" max="2" width="19.3333333333333" customWidth="1"/>
    <col min="3" max="3" width="12.6666666666667" customWidth="1"/>
    <col min="4" max="4" width="19.6666666666667" customWidth="1"/>
    <col min="5" max="5" width="5.44444444444444" customWidth="1"/>
    <col min="6" max="6" width="26.5555555555556" customWidth="1"/>
    <col min="7" max="7" width="10.4444444444444" customWidth="1"/>
  </cols>
  <sheetData>
    <row r="2" ht="21" spans="2:4">
      <c r="B2" s="26" t="s">
        <v>253</v>
      </c>
      <c r="C2" s="26" t="s">
        <v>254</v>
      </c>
      <c r="D2" s="1"/>
    </row>
    <row r="3" spans="4:4">
      <c r="D3" s="7"/>
    </row>
    <row r="4" ht="15.6" spans="2:4">
      <c r="B4" s="2" t="s">
        <v>192</v>
      </c>
      <c r="C4" s="2" t="s">
        <v>5</v>
      </c>
      <c r="D4" s="2" t="s">
        <v>11</v>
      </c>
    </row>
    <row r="5" spans="2:5">
      <c r="B5" s="4" t="s">
        <v>255</v>
      </c>
      <c r="C5" s="21" t="str">
        <f>LEFT(B5)</f>
        <v>А</v>
      </c>
      <c r="D5" s="47" t="s">
        <v>256</v>
      </c>
      <c r="E5" s="7"/>
    </row>
    <row r="6" spans="2:5">
      <c r="B6" s="4" t="s">
        <v>255</v>
      </c>
      <c r="C6" s="21" t="str">
        <f>RIGHT(B6)</f>
        <v>В</v>
      </c>
      <c r="D6" s="47" t="s">
        <v>257</v>
      </c>
      <c r="E6" s="7"/>
    </row>
    <row r="7" spans="5:5">
      <c r="E7" s="7"/>
    </row>
    <row r="8" spans="2:5">
      <c r="B8" s="4" t="s">
        <v>258</v>
      </c>
      <c r="C8" s="21" t="str">
        <f>LEFT(B8,4)</f>
        <v>Мама</v>
      </c>
      <c r="D8" s="47" t="s">
        <v>259</v>
      </c>
      <c r="E8" s="7"/>
    </row>
    <row r="9" spans="2:5">
      <c r="B9" s="4" t="s">
        <v>258</v>
      </c>
      <c r="C9" s="21" t="str">
        <f>RIGHT(B9,4)</f>
        <v>раму</v>
      </c>
      <c r="D9" s="47" t="s">
        <v>260</v>
      </c>
      <c r="E9" s="7"/>
    </row>
    <row r="10" spans="5:5">
      <c r="E10" s="7"/>
    </row>
    <row r="11" spans="2:5">
      <c r="B11" s="41" t="s">
        <v>261</v>
      </c>
      <c r="C11" s="21" t="str">
        <f>LEFT(B11,3)</f>
        <v>909</v>
      </c>
      <c r="D11" s="47" t="s">
        <v>262</v>
      </c>
      <c r="E11" s="7"/>
    </row>
    <row r="12" spans="2:5">
      <c r="B12" s="41" t="s">
        <v>261</v>
      </c>
      <c r="C12" s="21" t="str">
        <f>RIGHT(B12,5)</f>
        <v>66-55</v>
      </c>
      <c r="D12" s="47" t="s">
        <v>263</v>
      </c>
      <c r="E12" s="7"/>
    </row>
    <row r="14" spans="2:4">
      <c r="B14" s="100" t="s">
        <v>264</v>
      </c>
      <c r="C14" s="21" t="str">
        <f>LEFT(B14,4)</f>
        <v>7500</v>
      </c>
      <c r="D14" s="47" t="s">
        <v>265</v>
      </c>
    </row>
    <row r="15" spans="2:4">
      <c r="B15" s="100" t="s">
        <v>264</v>
      </c>
      <c r="C15" s="21" t="str">
        <f>RIGHT(B15,6)</f>
        <v>221155</v>
      </c>
      <c r="D15" s="47" t="s">
        <v>266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C5" sqref="C5:C15"/>
    </sheetView>
  </sheetViews>
  <sheetFormatPr defaultColWidth="9" defaultRowHeight="14.4" outlineLevelCol="4"/>
  <cols>
    <col min="2" max="2" width="14.4444444444444" customWidth="1"/>
    <col min="3" max="3" width="21.3333333333333" customWidth="1"/>
    <col min="4" max="4" width="16.2222222222222" customWidth="1"/>
    <col min="5" max="5" width="26.5555555555556" customWidth="1"/>
    <col min="6" max="6" width="10.4444444444444" customWidth="1"/>
  </cols>
  <sheetData>
    <row r="2" ht="21" spans="2:5">
      <c r="B2" s="1" t="s">
        <v>267</v>
      </c>
      <c r="E2" s="45"/>
    </row>
    <row r="3" spans="3:3">
      <c r="C3" s="7"/>
    </row>
    <row r="4" ht="15.6" spans="2:3">
      <c r="B4" s="2" t="s">
        <v>183</v>
      </c>
      <c r="C4" s="2" t="s">
        <v>5</v>
      </c>
    </row>
    <row r="5" spans="2:4">
      <c r="B5" s="4" t="s">
        <v>268</v>
      </c>
      <c r="C5" s="29">
        <f>LEN(B5)</f>
        <v>3</v>
      </c>
      <c r="D5" s="7" t="s">
        <v>269</v>
      </c>
    </row>
    <row r="6" spans="2:4">
      <c r="B6" s="4" t="s">
        <v>270</v>
      </c>
      <c r="C6" s="29">
        <f t="shared" ref="C6:C15" si="0">LEN(B6)</f>
        <v>4</v>
      </c>
      <c r="D6" s="7" t="s">
        <v>271</v>
      </c>
    </row>
    <row r="7" spans="2:4">
      <c r="B7" s="4" t="s">
        <v>272</v>
      </c>
      <c r="C7" s="29">
        <f t="shared" si="0"/>
        <v>3</v>
      </c>
      <c r="D7" s="7" t="s">
        <v>273</v>
      </c>
    </row>
    <row r="8" spans="2:4">
      <c r="B8" s="4" t="s">
        <v>274</v>
      </c>
      <c r="C8" s="29">
        <f t="shared" si="0"/>
        <v>11</v>
      </c>
      <c r="D8" s="7" t="s">
        <v>275</v>
      </c>
    </row>
    <row r="9" spans="2:4">
      <c r="B9" s="4"/>
      <c r="C9" s="29">
        <f t="shared" si="0"/>
        <v>0</v>
      </c>
      <c r="D9" s="7" t="s">
        <v>276</v>
      </c>
    </row>
    <row r="10" spans="2:4">
      <c r="B10" s="41">
        <v>1000</v>
      </c>
      <c r="C10" s="29">
        <f t="shared" si="0"/>
        <v>4</v>
      </c>
      <c r="D10" s="7" t="s">
        <v>277</v>
      </c>
    </row>
    <row r="11" spans="2:4">
      <c r="B11" s="43">
        <v>1000</v>
      </c>
      <c r="C11" s="29">
        <f t="shared" si="0"/>
        <v>4</v>
      </c>
      <c r="D11" s="7" t="s">
        <v>278</v>
      </c>
    </row>
    <row r="12" spans="2:4">
      <c r="B12" s="32">
        <v>47112</v>
      </c>
      <c r="C12" s="29">
        <f t="shared" si="0"/>
        <v>5</v>
      </c>
      <c r="D12" s="7" t="s">
        <v>279</v>
      </c>
    </row>
    <row r="13" spans="2:4">
      <c r="B13" s="4">
        <v>106.99</v>
      </c>
      <c r="C13" s="29">
        <f t="shared" si="0"/>
        <v>6</v>
      </c>
      <c r="D13" s="7" t="s">
        <v>280</v>
      </c>
    </row>
    <row r="14" spans="2:4">
      <c r="B14" s="46">
        <v>3.14159265358979</v>
      </c>
      <c r="C14" s="29">
        <f t="shared" si="0"/>
        <v>16</v>
      </c>
      <c r="D14" s="7" t="s">
        <v>281</v>
      </c>
    </row>
    <row r="15" spans="2:4">
      <c r="B15" s="44">
        <v>-1.75</v>
      </c>
      <c r="C15" s="29">
        <f t="shared" si="0"/>
        <v>5</v>
      </c>
      <c r="D15" s="7" t="s">
        <v>282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workbookViewId="0">
      <selection activeCell="E16" sqref="E16"/>
    </sheetView>
  </sheetViews>
  <sheetFormatPr defaultColWidth="9" defaultRowHeight="14.4"/>
  <cols>
    <col min="2" max="3" width="12.4444444444444" customWidth="1"/>
    <col min="4" max="4" width="13.1111111111111" customWidth="1"/>
    <col min="5" max="5" width="29.3333333333333" customWidth="1"/>
  </cols>
  <sheetData>
    <row r="1" spans="9:9">
      <c r="I1" s="10"/>
    </row>
    <row r="2" ht="21" spans="2:5">
      <c r="B2" s="1" t="s">
        <v>283</v>
      </c>
      <c r="C2" s="34"/>
      <c r="D2" s="26"/>
      <c r="E2" s="35"/>
    </row>
    <row r="3" spans="4:5">
      <c r="D3" s="7"/>
      <c r="E3" s="101" t="s">
        <v>284</v>
      </c>
    </row>
    <row r="4" ht="15.6" spans="2:5">
      <c r="B4" s="2" t="s">
        <v>69</v>
      </c>
      <c r="C4" s="2" t="s">
        <v>70</v>
      </c>
      <c r="D4" s="2" t="s">
        <v>71</v>
      </c>
      <c r="E4" s="20" t="s">
        <v>285</v>
      </c>
    </row>
    <row r="5" spans="2:5">
      <c r="B5" s="4" t="s">
        <v>286</v>
      </c>
      <c r="C5" s="16" t="s">
        <v>287</v>
      </c>
      <c r="D5" s="44" t="s">
        <v>288</v>
      </c>
      <c r="E5" s="29" t="str">
        <f>CONCATENATE(B5,",",C5,",",D5)</f>
        <v>А,Б,В</v>
      </c>
    </row>
    <row r="6" spans="2:5">
      <c r="B6" s="4">
        <v>1</v>
      </c>
      <c r="C6" s="4">
        <v>2</v>
      </c>
      <c r="D6" s="44">
        <v>3</v>
      </c>
      <c r="E6" s="29" t="str">
        <f>CONCATENATE(B6,",",C6,",",D6)</f>
        <v>1,2,3</v>
      </c>
    </row>
    <row r="7" spans="2:5">
      <c r="B7" s="4" t="s">
        <v>289</v>
      </c>
      <c r="C7" s="16" t="s">
        <v>290</v>
      </c>
      <c r="D7" s="44" t="s">
        <v>291</v>
      </c>
      <c r="E7" s="29" t="str">
        <f>CONCATENATE(B7,",",C7,",",D7)</f>
        <v>сливы,яблоки,груши</v>
      </c>
    </row>
    <row r="8" spans="2:5">
      <c r="B8" s="4" t="s">
        <v>292</v>
      </c>
      <c r="C8" s="16" t="s">
        <v>293</v>
      </c>
      <c r="D8" s="44" t="s">
        <v>294</v>
      </c>
      <c r="E8" s="29" t="str">
        <f>CONCATENATE(B8,",",C8,",",D8)</f>
        <v>красный,синий,зеленый</v>
      </c>
    </row>
    <row r="10" spans="5:5">
      <c r="E10" s="101" t="s">
        <v>295</v>
      </c>
    </row>
    <row r="11" spans="2:5">
      <c r="B11" s="4" t="s">
        <v>292</v>
      </c>
      <c r="C11" s="16" t="s">
        <v>293</v>
      </c>
      <c r="D11" s="44"/>
      <c r="E11" s="29" t="str">
        <f>CONCATENATE(B11,"и",C11)</f>
        <v>красныйисиний</v>
      </c>
    </row>
    <row r="13" spans="5:5">
      <c r="E13" s="101" t="s">
        <v>296</v>
      </c>
    </row>
    <row r="14" ht="15.6" spans="2:5">
      <c r="B14" s="2" t="s">
        <v>297</v>
      </c>
      <c r="C14" s="2" t="s">
        <v>298</v>
      </c>
      <c r="D14" s="2" t="s">
        <v>299</v>
      </c>
      <c r="E14" s="20" t="s">
        <v>285</v>
      </c>
    </row>
    <row r="15" spans="2:5">
      <c r="B15" s="4" t="s">
        <v>300</v>
      </c>
      <c r="C15" s="16" t="s">
        <v>301</v>
      </c>
      <c r="D15" s="44" t="s">
        <v>302</v>
      </c>
      <c r="E15" s="29" t="str">
        <f>CONCATENATE(D15,",",B15,",",C15)</f>
        <v>Уважаемый,Петр,Петрович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workbookViewId="0">
      <selection activeCell="E6" sqref="E6"/>
    </sheetView>
  </sheetViews>
  <sheetFormatPr defaultColWidth="9" defaultRowHeight="14.4" outlineLevelCol="6"/>
  <cols>
    <col min="2" max="2" width="18.8888888888889" customWidth="1"/>
    <col min="3" max="3" width="16.4444444444444" customWidth="1"/>
    <col min="4" max="4" width="15.3333333333333" customWidth="1"/>
    <col min="5" max="5" width="16.7777777777778" customWidth="1"/>
    <col min="6" max="6" width="5.44444444444444" customWidth="1"/>
    <col min="7" max="7" width="19.6666666666667" customWidth="1"/>
    <col min="8" max="8" width="10.4444444444444" customWidth="1"/>
  </cols>
  <sheetData>
    <row r="2" ht="21" spans="2:5">
      <c r="B2" s="1" t="s">
        <v>303</v>
      </c>
      <c r="C2" s="26" t="s">
        <v>304</v>
      </c>
      <c r="D2" s="35"/>
      <c r="E2" s="35" t="s">
        <v>305</v>
      </c>
    </row>
    <row r="3" spans="4:5">
      <c r="D3" s="7"/>
      <c r="E3" s="7"/>
    </row>
    <row r="4" ht="15.6" spans="2:5">
      <c r="B4" s="2" t="s">
        <v>116</v>
      </c>
      <c r="C4" s="2" t="s">
        <v>303</v>
      </c>
      <c r="D4" s="2" t="s">
        <v>304</v>
      </c>
      <c r="E4" s="20" t="s">
        <v>306</v>
      </c>
    </row>
    <row r="5" spans="2:5">
      <c r="B5" s="4" t="s">
        <v>307</v>
      </c>
      <c r="C5" s="21" t="str">
        <f>LOWER(B5)</f>
        <v>книга</v>
      </c>
      <c r="D5" s="42" t="str" cm="1">
        <f t="array" ref="D5:D13">PROPER(B5:B13)</f>
        <v>Книга</v>
      </c>
      <c r="E5" s="29" t="str" cm="1">
        <f t="array" ref="E5:E13">UPPER(B5:B13)</f>
        <v>КНИГА</v>
      </c>
    </row>
    <row r="6" spans="2:5">
      <c r="B6" s="4" t="s">
        <v>308</v>
      </c>
      <c r="C6" s="21" t="str">
        <f t="shared" ref="C6:C13" si="0">LOWER(B6)</f>
        <v>книга</v>
      </c>
      <c r="D6" s="42" t="str">
        <v>Книга</v>
      </c>
      <c r="E6" s="29" t="str">
        <v>КНИГА</v>
      </c>
    </row>
    <row r="7" spans="2:5">
      <c r="B7" s="4" t="s">
        <v>309</v>
      </c>
      <c r="C7" s="21" t="str">
        <f t="shared" si="0"/>
        <v>а.с. пушкин</v>
      </c>
      <c r="D7" s="42" t="str">
        <v>А.С. Пушкин</v>
      </c>
      <c r="E7" s="29" t="str">
        <v>А.С. ПУШКИН</v>
      </c>
    </row>
    <row r="8" spans="2:5">
      <c r="B8" s="4" t="s">
        <v>310</v>
      </c>
      <c r="C8" s="21" t="str">
        <f t="shared" si="0"/>
        <v>яблоки, груши</v>
      </c>
      <c r="D8" s="42" t="str">
        <v>Яблоки, Груши</v>
      </c>
      <c r="E8" s="29" t="str">
        <v>ЯБЛОКИ, ГРУШИ</v>
      </c>
    </row>
    <row r="9" spans="2:5">
      <c r="B9" s="4" t="s">
        <v>311</v>
      </c>
      <c r="C9" s="21" t="str">
        <f t="shared" si="0"/>
        <v>ик-0002536</v>
      </c>
      <c r="D9" s="42" t="str">
        <v>Ик-0002536</v>
      </c>
      <c r="E9" s="29" t="str">
        <v>ИК-0002536</v>
      </c>
    </row>
    <row r="10" spans="2:6">
      <c r="B10" s="4" t="s">
        <v>312</v>
      </c>
      <c r="C10" s="21" t="str">
        <f t="shared" si="0"/>
        <v>ик-0002536-чб</v>
      </c>
      <c r="D10" s="42" t="str">
        <v>Ик-0002536-Чб</v>
      </c>
      <c r="E10" s="29" t="str">
        <v>ИК-0002536-ЧБ</v>
      </c>
      <c r="F10" s="7"/>
    </row>
    <row r="11" spans="2:6">
      <c r="B11" s="4">
        <v>12345</v>
      </c>
      <c r="C11" s="21" t="str">
        <f t="shared" si="0"/>
        <v>12345</v>
      </c>
      <c r="D11" s="42" t="str">
        <v>12345</v>
      </c>
      <c r="E11" s="29" t="str">
        <v>12345</v>
      </c>
      <c r="F11" s="7" t="s">
        <v>313</v>
      </c>
    </row>
    <row r="12" spans="2:7">
      <c r="B12" s="43">
        <v>10000</v>
      </c>
      <c r="C12" s="21" t="str">
        <f t="shared" si="0"/>
        <v>10000</v>
      </c>
      <c r="D12" s="42" t="str">
        <v>10000</v>
      </c>
      <c r="E12" s="29" t="str">
        <v>10000</v>
      </c>
      <c r="F12" s="7" t="s">
        <v>314</v>
      </c>
      <c r="G12" s="7"/>
    </row>
    <row r="13" spans="2:7">
      <c r="B13" s="32">
        <v>47112</v>
      </c>
      <c r="C13" s="21" t="str">
        <f t="shared" si="0"/>
        <v>47112</v>
      </c>
      <c r="D13" s="42" t="str">
        <v>47112</v>
      </c>
      <c r="E13" s="29" t="str">
        <v>47112</v>
      </c>
      <c r="F13" s="7" t="s">
        <v>314</v>
      </c>
      <c r="G13" s="7"/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6" sqref="G6"/>
    </sheetView>
  </sheetViews>
  <sheetFormatPr defaultColWidth="9" defaultRowHeight="14.4"/>
  <cols>
    <col min="2" max="2" width="11.2222222222222" customWidth="1"/>
    <col min="3" max="4" width="13.3333333333333" customWidth="1"/>
    <col min="5" max="5" width="4" customWidth="1"/>
    <col min="6" max="6" width="12" customWidth="1"/>
  </cols>
  <sheetData>
    <row r="1" spans="10:10">
      <c r="J1" s="10"/>
    </row>
    <row r="2" ht="21" spans="2:4">
      <c r="B2" s="1" t="s">
        <v>315</v>
      </c>
      <c r="C2" s="1"/>
      <c r="D2" s="26" t="s">
        <v>316</v>
      </c>
    </row>
    <row r="4" ht="31.2" spans="2:7">
      <c r="B4" s="2" t="s">
        <v>317</v>
      </c>
      <c r="C4" s="39" t="s">
        <v>318</v>
      </c>
      <c r="D4" s="39" t="s">
        <v>319</v>
      </c>
      <c r="G4" s="14" t="s">
        <v>320</v>
      </c>
    </row>
    <row r="5" spans="2:7">
      <c r="B5" s="4" t="s">
        <v>111</v>
      </c>
      <c r="C5" s="40" t="str">
        <f>IF(COUNT(B5)&gt;0,"да","")</f>
        <v/>
      </c>
      <c r="D5" s="4" t="str">
        <f>IF(COUNTA(B5)&gt;0,"да","")</f>
        <v>да</v>
      </c>
      <c r="E5" s="7" t="s">
        <v>321</v>
      </c>
      <c r="G5" s="29">
        <f>COUNT(B5:B15)</f>
        <v>6</v>
      </c>
    </row>
    <row r="6" spans="2:5">
      <c r="B6" s="4">
        <v>18</v>
      </c>
      <c r="C6" s="40" t="str">
        <f t="shared" ref="C6:C15" si="0">IF(COUNT(B6)&gt;0,"да","")</f>
        <v>да</v>
      </c>
      <c r="D6" s="4" t="str">
        <f t="shared" ref="D6:D15" si="1">IF(COUNTA(B6)&gt;0,"да","")</f>
        <v>да</v>
      </c>
      <c r="E6" s="7" t="s">
        <v>322</v>
      </c>
    </row>
    <row r="7" ht="15.6" spans="1:7">
      <c r="A7" s="30"/>
      <c r="B7" s="31">
        <v>0.73</v>
      </c>
      <c r="C7" s="40" t="str">
        <f t="shared" si="0"/>
        <v>да</v>
      </c>
      <c r="D7" s="4" t="str">
        <f t="shared" si="1"/>
        <v>да</v>
      </c>
      <c r="E7" s="7" t="s">
        <v>323</v>
      </c>
      <c r="G7" s="14" t="s">
        <v>316</v>
      </c>
    </row>
    <row r="8" ht="15.6" spans="1:7">
      <c r="A8" s="30"/>
      <c r="B8" s="4">
        <v>4.4</v>
      </c>
      <c r="C8" s="40" t="str">
        <f t="shared" si="0"/>
        <v>да</v>
      </c>
      <c r="D8" s="4" t="str">
        <f t="shared" si="1"/>
        <v>да</v>
      </c>
      <c r="E8" s="7" t="s">
        <v>324</v>
      </c>
      <c r="G8" s="29">
        <f>COUNTA(B5:B15)</f>
        <v>10</v>
      </c>
    </row>
    <row r="9" ht="15.6" spans="1:7">
      <c r="A9" s="30"/>
      <c r="B9" s="41">
        <v>-1</v>
      </c>
      <c r="C9" s="40" t="str">
        <f t="shared" si="0"/>
        <v>да</v>
      </c>
      <c r="D9" s="4" t="str">
        <f t="shared" si="1"/>
        <v>да</v>
      </c>
      <c r="E9" s="7" t="s">
        <v>76</v>
      </c>
      <c r="G9" s="7"/>
    </row>
    <row r="10" ht="15.6" spans="1:7">
      <c r="A10" s="30"/>
      <c r="B10" s="4" t="s">
        <v>325</v>
      </c>
      <c r="C10" s="40" t="str">
        <f>IF(COUNT(B10)&gt;0,"да","")</f>
        <v/>
      </c>
      <c r="D10" s="4" t="str">
        <f t="shared" si="1"/>
        <v>да</v>
      </c>
      <c r="E10" s="7" t="s">
        <v>326</v>
      </c>
      <c r="G10" s="7"/>
    </row>
    <row r="11" ht="15.6" spans="1:9">
      <c r="A11" s="30"/>
      <c r="B11" s="41"/>
      <c r="C11" s="40" t="str">
        <f t="shared" si="0"/>
        <v/>
      </c>
      <c r="D11" s="4" t="str">
        <f t="shared" si="1"/>
        <v/>
      </c>
      <c r="E11" s="7" t="s">
        <v>327</v>
      </c>
      <c r="I11" s="7"/>
    </row>
    <row r="12" ht="15.6" spans="1:7">
      <c r="A12" s="30"/>
      <c r="B12" s="32">
        <v>46798</v>
      </c>
      <c r="C12" s="40" t="str">
        <f t="shared" si="0"/>
        <v>да</v>
      </c>
      <c r="D12" s="4" t="str">
        <f t="shared" si="1"/>
        <v>да</v>
      </c>
      <c r="E12" s="7" t="s">
        <v>328</v>
      </c>
      <c r="G12" s="7"/>
    </row>
    <row r="13" ht="15.6" spans="1:7">
      <c r="A13" s="30"/>
      <c r="B13" s="36">
        <v>0.763888888888889</v>
      </c>
      <c r="C13" s="40" t="str">
        <f t="shared" si="0"/>
        <v>да</v>
      </c>
      <c r="D13" s="4" t="str">
        <f t="shared" si="1"/>
        <v>да</v>
      </c>
      <c r="E13" s="7" t="s">
        <v>329</v>
      </c>
      <c r="G13" s="7"/>
    </row>
    <row r="14" spans="2:5">
      <c r="B14" s="4" t="str">
        <f>"0024"</f>
        <v>0024</v>
      </c>
      <c r="C14" s="40" t="str">
        <f>IF(COUNT(B14)&gt;0,"да","")</f>
        <v/>
      </c>
      <c r="D14" s="4" t="str">
        <f t="shared" si="1"/>
        <v>да</v>
      </c>
      <c r="E14" s="7" t="s">
        <v>330</v>
      </c>
    </row>
    <row r="15" spans="2:5">
      <c r="B15" s="4" t="e">
        <f>VLOOKUP(B14,B5:B6,1,0)</f>
        <v>#N/A</v>
      </c>
      <c r="C15" s="40" t="str">
        <f>IF(COUNT(B15)&gt;0,"да","")</f>
        <v/>
      </c>
      <c r="D15" s="4" t="str">
        <f t="shared" si="1"/>
        <v>да</v>
      </c>
      <c r="E15" s="7" t="s">
        <v>331</v>
      </c>
    </row>
  </sheetData>
  <conditionalFormatting sqref="C5:D15">
    <cfRule type="cellIs" dxfId="0" priority="1" operator="equal">
      <formula>""</formula>
    </cfRule>
  </conditionalFormatting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D7" sqref="D7"/>
    </sheetView>
  </sheetViews>
  <sheetFormatPr defaultColWidth="9" defaultRowHeight="14.4" outlineLevelCol="4"/>
  <cols>
    <col min="2" max="2" width="14" customWidth="1"/>
    <col min="3" max="3" width="9.33333333333333" customWidth="1"/>
    <col min="4" max="4" width="17.4444444444444" customWidth="1"/>
  </cols>
  <sheetData>
    <row r="2" ht="21" spans="2:4">
      <c r="B2" s="1" t="s">
        <v>332</v>
      </c>
      <c r="D2" s="35"/>
    </row>
    <row r="3" spans="4:4">
      <c r="D3" s="7"/>
    </row>
    <row r="4" ht="15.6" spans="2:4">
      <c r="B4" s="2" t="s">
        <v>317</v>
      </c>
      <c r="D4" s="27" t="s">
        <v>333</v>
      </c>
    </row>
    <row r="5" spans="2:5">
      <c r="B5" s="4" t="s">
        <v>334</v>
      </c>
      <c r="D5" s="28"/>
      <c r="E5" s="7"/>
    </row>
    <row r="6" spans="2:5">
      <c r="B6" s="4" t="s">
        <v>335</v>
      </c>
      <c r="D6" s="29">
        <f>COUNTBLANK(B5:B15)</f>
        <v>3</v>
      </c>
      <c r="E6" s="7"/>
    </row>
    <row r="7" ht="15.6" spans="1:5">
      <c r="A7" s="30"/>
      <c r="B7" s="4">
        <v>100</v>
      </c>
      <c r="E7" s="7"/>
    </row>
    <row r="8" ht="15.6" spans="1:3">
      <c r="A8" s="3">
        <v>1</v>
      </c>
      <c r="B8" s="31"/>
      <c r="C8" s="7" t="s">
        <v>327</v>
      </c>
    </row>
    <row r="9" ht="15.6" spans="1:3">
      <c r="A9" s="3"/>
      <c r="B9" s="37">
        <v>0.3</v>
      </c>
      <c r="C9" s="7"/>
    </row>
    <row r="10" ht="15.6" spans="1:3">
      <c r="A10" s="3">
        <v>2</v>
      </c>
      <c r="B10" s="32"/>
      <c r="C10" s="7" t="s">
        <v>327</v>
      </c>
    </row>
    <row r="11" ht="15.6" spans="1:3">
      <c r="A11" s="3"/>
      <c r="B11" s="4">
        <v>0.5</v>
      </c>
      <c r="C11" s="7"/>
    </row>
    <row r="12" ht="15.6" spans="1:5">
      <c r="A12" s="3"/>
      <c r="B12" s="32" t="s">
        <v>336</v>
      </c>
      <c r="C12" s="7" t="s">
        <v>337</v>
      </c>
      <c r="E12" s="7"/>
    </row>
    <row r="13" ht="15.6" spans="1:5">
      <c r="A13" s="3">
        <v>3</v>
      </c>
      <c r="B13" s="33" t="str">
        <f>""</f>
        <v/>
      </c>
      <c r="C13" s="7" t="s">
        <v>338</v>
      </c>
      <c r="E13" s="7"/>
    </row>
    <row r="14" spans="1:2">
      <c r="A14" s="38"/>
      <c r="B14" s="32">
        <v>47044</v>
      </c>
    </row>
    <row r="15" spans="1:2">
      <c r="A15" s="38"/>
      <c r="B15" s="4" t="e">
        <f>VLOOKUP(B11,B6:B8,1,0)</f>
        <v>#N/A</v>
      </c>
    </row>
  </sheetData>
  <mergeCells count="1">
    <mergeCell ref="D4:D5"/>
  </mergeCells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E5" sqref="E5:E14"/>
    </sheetView>
  </sheetViews>
  <sheetFormatPr defaultColWidth="9" defaultRowHeight="14.4"/>
  <cols>
    <col min="2" max="2" width="14" customWidth="1"/>
    <col min="3" max="5" width="13.7777777777778" customWidth="1"/>
    <col min="6" max="6" width="11.2222222222222" customWidth="1"/>
    <col min="8" max="8" width="11.2222222222222" customWidth="1"/>
  </cols>
  <sheetData>
    <row r="1" spans="10:10">
      <c r="J1" s="10"/>
    </row>
    <row r="2" ht="21" spans="2:4">
      <c r="B2" s="1" t="s">
        <v>339</v>
      </c>
      <c r="C2" s="34" t="s">
        <v>340</v>
      </c>
      <c r="D2" s="35" t="s">
        <v>341</v>
      </c>
    </row>
    <row r="3" spans="3:5">
      <c r="C3" s="7"/>
      <c r="D3" s="7"/>
      <c r="E3" s="7"/>
    </row>
    <row r="4" ht="15.6" spans="2:5">
      <c r="B4" s="2" t="s">
        <v>317</v>
      </c>
      <c r="C4" s="2" t="s">
        <v>339</v>
      </c>
      <c r="D4" s="2" t="s">
        <v>340</v>
      </c>
      <c r="E4" s="2" t="s">
        <v>341</v>
      </c>
    </row>
    <row r="5" spans="2:8">
      <c r="B5" s="32" t="s">
        <v>334</v>
      </c>
      <c r="C5" s="29" t="b">
        <f>ISBLANK(B5)</f>
        <v>0</v>
      </c>
      <c r="D5" s="29" t="b">
        <f>ISTEXT(B5)</f>
        <v>1</v>
      </c>
      <c r="E5" s="29" t="b">
        <f>ISNUMBER(B5)</f>
        <v>0</v>
      </c>
      <c r="F5" s="7" t="s">
        <v>342</v>
      </c>
      <c r="H5" s="9"/>
    </row>
    <row r="6" spans="2:8">
      <c r="B6" s="32"/>
      <c r="C6" s="29" t="b">
        <f t="shared" ref="C6:C14" si="0">ISBLANK(B6)</f>
        <v>1</v>
      </c>
      <c r="D6" s="29" t="b">
        <f t="shared" ref="D6:D14" si="1">ISTEXT(B6)</f>
        <v>0</v>
      </c>
      <c r="E6" s="29" t="b">
        <f t="shared" ref="E6:E14" si="2">ISNUMBER(B6)</f>
        <v>0</v>
      </c>
      <c r="F6" s="7" t="s">
        <v>343</v>
      </c>
      <c r="H6" s="9"/>
    </row>
    <row r="7" spans="2:8">
      <c r="B7" s="32" t="s">
        <v>336</v>
      </c>
      <c r="C7" s="29" t="b">
        <f t="shared" si="0"/>
        <v>0</v>
      </c>
      <c r="D7" s="29" t="b">
        <f t="shared" si="1"/>
        <v>1</v>
      </c>
      <c r="E7" s="29" t="b">
        <f t="shared" si="2"/>
        <v>0</v>
      </c>
      <c r="F7" s="7" t="s">
        <v>344</v>
      </c>
      <c r="H7" s="9"/>
    </row>
    <row r="8" spans="2:8">
      <c r="B8" s="12" t="str">
        <f>IF($C$5=FALSE,"",1)</f>
        <v/>
      </c>
      <c r="C8" s="29" t="b">
        <f t="shared" si="0"/>
        <v>0</v>
      </c>
      <c r="D8" s="29" t="b">
        <f t="shared" si="1"/>
        <v>1</v>
      </c>
      <c r="E8" s="29" t="b">
        <f t="shared" si="2"/>
        <v>0</v>
      </c>
      <c r="F8" s="7" t="s">
        <v>345</v>
      </c>
      <c r="H8" s="9"/>
    </row>
    <row r="9" spans="2:8">
      <c r="B9" s="12">
        <v>100</v>
      </c>
      <c r="C9" s="29" t="b">
        <f t="shared" si="0"/>
        <v>0</v>
      </c>
      <c r="D9" s="29" t="b">
        <f t="shared" si="1"/>
        <v>0</v>
      </c>
      <c r="E9" s="29" t="b">
        <f t="shared" si="2"/>
        <v>1</v>
      </c>
      <c r="F9" s="7" t="s">
        <v>346</v>
      </c>
      <c r="H9" s="9"/>
    </row>
    <row r="10" spans="2:8">
      <c r="B10" s="97" t="s">
        <v>347</v>
      </c>
      <c r="C10" s="29" t="b">
        <f t="shared" si="0"/>
        <v>0</v>
      </c>
      <c r="D10" s="29" t="b">
        <f t="shared" si="1"/>
        <v>1</v>
      </c>
      <c r="E10" s="29" t="b">
        <f t="shared" si="2"/>
        <v>0</v>
      </c>
      <c r="F10" s="7" t="s">
        <v>348</v>
      </c>
      <c r="H10" s="9"/>
    </row>
    <row r="11" spans="2:8">
      <c r="B11" s="32">
        <v>45657</v>
      </c>
      <c r="C11" s="29" t="b">
        <f t="shared" si="0"/>
        <v>0</v>
      </c>
      <c r="D11" s="29" t="b">
        <f t="shared" si="1"/>
        <v>0</v>
      </c>
      <c r="E11" s="29" t="b">
        <f t="shared" si="2"/>
        <v>1</v>
      </c>
      <c r="F11" s="7" t="s">
        <v>349</v>
      </c>
      <c r="H11" s="9"/>
    </row>
    <row r="12" spans="2:8">
      <c r="B12" s="36">
        <v>0.396041666666667</v>
      </c>
      <c r="C12" s="29" t="b">
        <f t="shared" si="0"/>
        <v>0</v>
      </c>
      <c r="D12" s="29" t="b">
        <f t="shared" si="1"/>
        <v>0</v>
      </c>
      <c r="E12" s="29" t="b">
        <f t="shared" si="2"/>
        <v>1</v>
      </c>
      <c r="F12" s="7" t="s">
        <v>350</v>
      </c>
      <c r="H12" s="9"/>
    </row>
    <row r="13" spans="2:8">
      <c r="B13" s="32" t="e">
        <f>VLOOKUP("утюг",$B$5:$B$8,1,0)</f>
        <v>#N/A</v>
      </c>
      <c r="C13" s="29" t="b">
        <f t="shared" si="0"/>
        <v>0</v>
      </c>
      <c r="D13" s="29" t="b">
        <f t="shared" si="1"/>
        <v>0</v>
      </c>
      <c r="E13" s="29" t="b">
        <f t="shared" si="2"/>
        <v>0</v>
      </c>
      <c r="F13" s="7" t="s">
        <v>351</v>
      </c>
      <c r="H13" s="9"/>
    </row>
    <row r="14" spans="2:6">
      <c r="B14" s="32" t="e">
        <f>6/0</f>
        <v>#DIV/0!</v>
      </c>
      <c r="C14" s="29" t="b">
        <f t="shared" si="0"/>
        <v>0</v>
      </c>
      <c r="D14" s="29" t="b">
        <f t="shared" si="1"/>
        <v>0</v>
      </c>
      <c r="E14" s="29" t="b">
        <f t="shared" si="2"/>
        <v>0</v>
      </c>
      <c r="F14" s="7" t="s">
        <v>351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13" sqref="F13:F15"/>
    </sheetView>
  </sheetViews>
  <sheetFormatPr defaultColWidth="9" defaultRowHeight="14.4"/>
  <cols>
    <col min="2" max="3" width="11.2222222222222" customWidth="1"/>
    <col min="4" max="5" width="6.44444444444444" customWidth="1"/>
    <col min="6" max="6" width="17.4444444444444" customWidth="1"/>
  </cols>
  <sheetData>
    <row r="1" spans="10:10">
      <c r="J1" s="10"/>
    </row>
    <row r="2" ht="21" spans="2:6">
      <c r="B2" s="1" t="s">
        <v>352</v>
      </c>
      <c r="C2" s="1"/>
      <c r="F2" s="26" t="s">
        <v>353</v>
      </c>
    </row>
    <row r="3" spans="6:6">
      <c r="F3" s="7"/>
    </row>
    <row r="4" ht="15.6" spans="2:6">
      <c r="B4" s="2" t="s">
        <v>167</v>
      </c>
      <c r="C4" s="2" t="s">
        <v>168</v>
      </c>
      <c r="E4" s="27" t="s">
        <v>354</v>
      </c>
      <c r="F4" s="27" t="s">
        <v>355</v>
      </c>
    </row>
    <row r="5" spans="2:7">
      <c r="B5" s="4" t="s">
        <v>170</v>
      </c>
      <c r="C5" s="4">
        <v>58</v>
      </c>
      <c r="E5" s="28"/>
      <c r="F5" s="28"/>
      <c r="G5" s="7"/>
    </row>
    <row r="6" spans="2:7">
      <c r="B6" s="4" t="s">
        <v>171</v>
      </c>
      <c r="C6" s="4">
        <v>30</v>
      </c>
      <c r="E6" s="4">
        <v>1</v>
      </c>
      <c r="F6" s="29">
        <f>LARGE($C$5:$C$15,E6)</f>
        <v>96</v>
      </c>
      <c r="G6" s="7"/>
    </row>
    <row r="7" ht="15.6" spans="1:7">
      <c r="A7" s="30"/>
      <c r="B7" s="4" t="s">
        <v>172</v>
      </c>
      <c r="C7" s="4">
        <v>37</v>
      </c>
      <c r="E7" s="4">
        <v>2</v>
      </c>
      <c r="F7" s="29">
        <f>LARGE($C$5:$C$15,E7)</f>
        <v>89</v>
      </c>
      <c r="G7" s="7"/>
    </row>
    <row r="8" ht="15.6" spans="1:7">
      <c r="A8" s="30"/>
      <c r="B8" s="31" t="s">
        <v>173</v>
      </c>
      <c r="C8" s="4">
        <v>96</v>
      </c>
      <c r="E8" s="4">
        <v>3</v>
      </c>
      <c r="F8" s="29">
        <f>LARGE($C$5:$C$15,E8)</f>
        <v>84</v>
      </c>
      <c r="G8" s="7"/>
    </row>
    <row r="9" ht="15.6" spans="1:7">
      <c r="A9" s="30"/>
      <c r="B9" s="32" t="s">
        <v>175</v>
      </c>
      <c r="C9" s="4">
        <v>84</v>
      </c>
      <c r="G9" s="7"/>
    </row>
    <row r="10" ht="15.6" spans="1:7">
      <c r="A10" s="30"/>
      <c r="B10" s="32" t="s">
        <v>176</v>
      </c>
      <c r="C10" s="4">
        <v>89</v>
      </c>
      <c r="G10" s="7"/>
    </row>
    <row r="11" ht="15.6" spans="1:6">
      <c r="A11" s="30"/>
      <c r="B11" s="32" t="s">
        <v>177</v>
      </c>
      <c r="C11" s="4">
        <v>70</v>
      </c>
      <c r="D11" s="7"/>
      <c r="E11" s="27" t="s">
        <v>354</v>
      </c>
      <c r="F11" s="27" t="s">
        <v>356</v>
      </c>
    </row>
    <row r="12" ht="15.6" spans="1:7">
      <c r="A12" s="30"/>
      <c r="B12" s="32" t="s">
        <v>178</v>
      </c>
      <c r="C12" s="4">
        <v>24</v>
      </c>
      <c r="D12" s="7"/>
      <c r="E12" s="28"/>
      <c r="F12" s="28"/>
      <c r="G12" s="7"/>
    </row>
    <row r="13" ht="15.6" spans="1:7">
      <c r="A13" s="30"/>
      <c r="B13" s="33" t="s">
        <v>179</v>
      </c>
      <c r="C13" s="4">
        <v>62</v>
      </c>
      <c r="D13" s="7"/>
      <c r="E13" s="4">
        <v>1</v>
      </c>
      <c r="F13" s="29">
        <f>SMALL($C$5:$C$15,E13)</f>
        <v>24</v>
      </c>
      <c r="G13" s="7"/>
    </row>
    <row r="14" spans="2:6">
      <c r="B14" s="4" t="s">
        <v>180</v>
      </c>
      <c r="C14" s="4">
        <v>78</v>
      </c>
      <c r="D14" s="7"/>
      <c r="E14" s="4">
        <v>2</v>
      </c>
      <c r="F14" s="29">
        <f>SMALL($C$5:$C$15,E14)</f>
        <v>30</v>
      </c>
    </row>
    <row r="15" spans="2:6">
      <c r="B15" s="4" t="s">
        <v>181</v>
      </c>
      <c r="C15" s="4">
        <v>72</v>
      </c>
      <c r="E15" s="4">
        <v>3</v>
      </c>
      <c r="F15" s="29">
        <f>SMALL($C$5:$C$15,E15)</f>
        <v>37</v>
      </c>
    </row>
  </sheetData>
  <mergeCells count="4">
    <mergeCell ref="E4:E5"/>
    <mergeCell ref="E11:E12"/>
    <mergeCell ref="F4:F5"/>
    <mergeCell ref="F11:F12"/>
  </mergeCells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6" sqref="H6"/>
    </sheetView>
  </sheetViews>
  <sheetFormatPr defaultColWidth="9" defaultRowHeight="14.4"/>
  <cols>
    <col min="2" max="2" width="14.5555555555556" customWidth="1"/>
    <col min="3" max="3" width="19.5555555555556" customWidth="1"/>
    <col min="4" max="4" width="16.8888888888889" customWidth="1"/>
    <col min="5" max="5" width="15.6666666666667" customWidth="1"/>
    <col min="7" max="7" width="16.2222222222222" customWidth="1"/>
    <col min="8" max="8" width="18" customWidth="1"/>
  </cols>
  <sheetData>
    <row r="1" spans="10:10">
      <c r="J1" s="10"/>
    </row>
    <row r="2" ht="21" customHeight="1" spans="2:2">
      <c r="B2" s="1" t="s">
        <v>357</v>
      </c>
    </row>
    <row r="3" spans="2:5">
      <c r="B3" s="11">
        <v>1</v>
      </c>
      <c r="C3" s="11">
        <v>2</v>
      </c>
      <c r="D3" s="11">
        <v>3</v>
      </c>
      <c r="E3" s="11">
        <v>4</v>
      </c>
    </row>
    <row r="4" ht="15.6" spans="2:8">
      <c r="B4" s="2" t="s">
        <v>358</v>
      </c>
      <c r="C4" s="2" t="s">
        <v>359</v>
      </c>
      <c r="D4" s="2" t="s">
        <v>360</v>
      </c>
      <c r="E4" s="23" t="s">
        <v>361</v>
      </c>
      <c r="G4" s="14" t="s">
        <v>358</v>
      </c>
      <c r="H4" s="15" t="s">
        <v>361</v>
      </c>
    </row>
    <row r="5" spans="2:8">
      <c r="B5" s="24">
        <v>2683</v>
      </c>
      <c r="C5" s="102" t="s">
        <v>362</v>
      </c>
      <c r="D5" s="4">
        <v>72</v>
      </c>
      <c r="E5" s="25">
        <v>6500</v>
      </c>
      <c r="F5" s="7"/>
      <c r="G5" s="4">
        <v>2378</v>
      </c>
      <c r="H5" s="6">
        <f>VLOOKUP(G5,B5:E15,4,0)</f>
        <v>3000</v>
      </c>
    </row>
    <row r="6" spans="2:7">
      <c r="B6" s="24">
        <v>6483</v>
      </c>
      <c r="C6" s="102" t="s">
        <v>363</v>
      </c>
      <c r="D6" s="4">
        <v>97</v>
      </c>
      <c r="E6" s="25">
        <v>15000</v>
      </c>
      <c r="F6" s="7"/>
      <c r="G6" s="9"/>
    </row>
    <row r="7" spans="2:7">
      <c r="B7" s="24">
        <v>6110</v>
      </c>
      <c r="C7" s="102" t="s">
        <v>364</v>
      </c>
      <c r="D7" s="4">
        <v>61</v>
      </c>
      <c r="E7" s="25">
        <v>500</v>
      </c>
      <c r="F7" s="7"/>
      <c r="G7" s="9"/>
    </row>
    <row r="8" spans="2:7">
      <c r="B8" s="24">
        <v>5711</v>
      </c>
      <c r="C8" s="102" t="s">
        <v>365</v>
      </c>
      <c r="D8" s="4">
        <v>101</v>
      </c>
      <c r="E8" s="25">
        <v>1500</v>
      </c>
      <c r="F8" s="7"/>
      <c r="G8" s="9"/>
    </row>
    <row r="9" spans="2:7">
      <c r="B9" s="24">
        <v>3506</v>
      </c>
      <c r="C9" s="102" t="s">
        <v>366</v>
      </c>
      <c r="D9" s="4">
        <v>70</v>
      </c>
      <c r="E9" s="25">
        <v>8900</v>
      </c>
      <c r="F9" s="7"/>
      <c r="G9" s="9"/>
    </row>
    <row r="10" spans="2:7">
      <c r="B10" s="24">
        <v>9139</v>
      </c>
      <c r="C10" s="102" t="s">
        <v>367</v>
      </c>
      <c r="D10" s="4">
        <v>90</v>
      </c>
      <c r="E10" s="25">
        <v>150</v>
      </c>
      <c r="F10" s="7"/>
      <c r="G10" s="9"/>
    </row>
    <row r="11" spans="2:7">
      <c r="B11" s="24">
        <v>1546</v>
      </c>
      <c r="C11" s="102" t="s">
        <v>368</v>
      </c>
      <c r="D11" s="4">
        <v>73</v>
      </c>
      <c r="E11" s="25">
        <v>30000</v>
      </c>
      <c r="F11" s="7"/>
      <c r="G11" s="9"/>
    </row>
    <row r="12" spans="2:7">
      <c r="B12" s="24">
        <v>5897</v>
      </c>
      <c r="C12" s="102" t="s">
        <v>369</v>
      </c>
      <c r="D12" s="4">
        <v>95</v>
      </c>
      <c r="E12" s="25">
        <v>8000</v>
      </c>
      <c r="F12" s="7"/>
      <c r="G12" s="9"/>
    </row>
    <row r="13" spans="2:7">
      <c r="B13" s="24">
        <v>2378</v>
      </c>
      <c r="C13" s="102" t="s">
        <v>370</v>
      </c>
      <c r="D13" s="4">
        <v>93</v>
      </c>
      <c r="E13" s="25">
        <v>3000</v>
      </c>
      <c r="F13" s="7"/>
      <c r="G13" s="9"/>
    </row>
    <row r="14" spans="2:6">
      <c r="B14" s="24">
        <v>1345</v>
      </c>
      <c r="C14" s="102" t="s">
        <v>371</v>
      </c>
      <c r="D14" s="4">
        <v>71</v>
      </c>
      <c r="E14" s="25">
        <v>2900</v>
      </c>
      <c r="F14" s="7"/>
    </row>
    <row r="15" spans="2:6">
      <c r="B15" s="24">
        <v>9215</v>
      </c>
      <c r="C15" s="102" t="s">
        <v>372</v>
      </c>
      <c r="D15" s="4">
        <v>57</v>
      </c>
      <c r="E15" s="25">
        <v>12000</v>
      </c>
      <c r="F15" s="7"/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6"/>
  <sheetViews>
    <sheetView workbookViewId="0">
      <selection activeCell="D5" sqref="D5:D15"/>
    </sheetView>
  </sheetViews>
  <sheetFormatPr defaultColWidth="9" defaultRowHeight="14.4"/>
  <cols>
    <col min="2" max="2" width="14.4444444444444" customWidth="1"/>
    <col min="3" max="3" width="15.5555555555556" customWidth="1"/>
    <col min="4" max="4" width="17.6666666666667" customWidth="1"/>
    <col min="5" max="5" width="16.2222222222222" customWidth="1"/>
    <col min="6" max="6" width="26.5555555555556" customWidth="1"/>
    <col min="7" max="7" width="10.4444444444444" customWidth="1"/>
  </cols>
  <sheetData>
    <row r="1" spans="6:10">
      <c r="F1" s="19"/>
      <c r="J1" s="10"/>
    </row>
    <row r="2" ht="21" spans="2:2">
      <c r="B2" s="1" t="s">
        <v>373</v>
      </c>
    </row>
    <row r="3" spans="3:4">
      <c r="C3" s="7"/>
      <c r="D3" s="7"/>
    </row>
    <row r="4" ht="15.6" spans="2:4">
      <c r="B4" s="2" t="s">
        <v>374</v>
      </c>
      <c r="C4" s="2" t="s">
        <v>375</v>
      </c>
      <c r="D4" s="20" t="s">
        <v>376</v>
      </c>
    </row>
    <row r="5" spans="2:5">
      <c r="B5" s="16">
        <v>7600</v>
      </c>
      <c r="C5" s="4">
        <v>4</v>
      </c>
      <c r="D5" s="21">
        <f>IFERROR(B5/C5,"")</f>
        <v>1900</v>
      </c>
      <c r="E5" s="7"/>
    </row>
    <row r="6" spans="2:5">
      <c r="B6" s="16">
        <v>10300</v>
      </c>
      <c r="C6" s="4">
        <v>0</v>
      </c>
      <c r="D6" s="21" t="str">
        <f t="shared" ref="D6:D15" si="0">IFERROR(B6/C6,"")</f>
        <v/>
      </c>
      <c r="E6" s="7" t="s">
        <v>377</v>
      </c>
    </row>
    <row r="7" spans="2:5">
      <c r="B7" s="16">
        <v>9800</v>
      </c>
      <c r="C7" s="4">
        <v>5</v>
      </c>
      <c r="D7" s="21">
        <f t="shared" si="0"/>
        <v>1960</v>
      </c>
      <c r="E7" s="7"/>
    </row>
    <row r="8" spans="2:5">
      <c r="B8" s="16">
        <v>7300</v>
      </c>
      <c r="C8" s="4">
        <v>10</v>
      </c>
      <c r="D8" s="21">
        <f t="shared" si="0"/>
        <v>730</v>
      </c>
      <c r="E8" s="7"/>
    </row>
    <row r="9" spans="2:5">
      <c r="B9" s="16">
        <v>14300</v>
      </c>
      <c r="C9" s="4">
        <v>6</v>
      </c>
      <c r="D9" s="21">
        <f t="shared" si="0"/>
        <v>2383.33333333333</v>
      </c>
      <c r="E9" s="7"/>
    </row>
    <row r="10" spans="2:5">
      <c r="B10" s="16">
        <v>9700</v>
      </c>
      <c r="C10" s="4">
        <v>7</v>
      </c>
      <c r="D10" s="21">
        <f t="shared" si="0"/>
        <v>1385.71428571429</v>
      </c>
      <c r="E10" s="7"/>
    </row>
    <row r="11" spans="2:5">
      <c r="B11" s="16">
        <v>7700</v>
      </c>
      <c r="C11" s="4">
        <v>14</v>
      </c>
      <c r="D11" s="21">
        <f t="shared" si="0"/>
        <v>550</v>
      </c>
      <c r="E11" s="7"/>
    </row>
    <row r="12" spans="2:5">
      <c r="B12" s="16">
        <v>5500</v>
      </c>
      <c r="C12" s="4">
        <v>15</v>
      </c>
      <c r="D12" s="21">
        <f t="shared" si="0"/>
        <v>366.666666666667</v>
      </c>
      <c r="E12" s="7"/>
    </row>
    <row r="13" spans="2:5">
      <c r="B13" s="16">
        <v>7700</v>
      </c>
      <c r="C13" s="4">
        <v>9</v>
      </c>
      <c r="D13" s="21">
        <f t="shared" si="0"/>
        <v>855.555555555556</v>
      </c>
      <c r="E13" s="7"/>
    </row>
    <row r="14" spans="2:5">
      <c r="B14" s="16">
        <v>6100</v>
      </c>
      <c r="C14" s="4">
        <v>0</v>
      </c>
      <c r="D14" s="21" t="str">
        <f t="shared" si="0"/>
        <v/>
      </c>
      <c r="E14" s="7" t="s">
        <v>377</v>
      </c>
    </row>
    <row r="15" spans="2:5">
      <c r="B15" s="16">
        <v>12500</v>
      </c>
      <c r="C15" s="4">
        <v>7</v>
      </c>
      <c r="D15" s="21">
        <f t="shared" si="0"/>
        <v>1785.71428571429</v>
      </c>
      <c r="E15" s="7"/>
    </row>
    <row r="16" spans="4:4">
      <c r="D16" s="22"/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F6" sqref="F6"/>
    </sheetView>
  </sheetViews>
  <sheetFormatPr defaultColWidth="9" defaultRowHeight="14.4"/>
  <cols>
    <col min="2" max="2" width="19.5555555555556" customWidth="1"/>
    <col min="3" max="4" width="12.8888888888889" customWidth="1"/>
    <col min="5" max="5" width="19.5555555555556" customWidth="1"/>
    <col min="6" max="6" width="18" customWidth="1"/>
  </cols>
  <sheetData>
    <row r="1" spans="10:10">
      <c r="J1" s="10"/>
    </row>
    <row r="2" ht="21" spans="2:3">
      <c r="B2" s="1" t="s">
        <v>378</v>
      </c>
      <c r="C2" s="1"/>
    </row>
    <row r="4" ht="15.6" spans="2:6">
      <c r="B4" s="2" t="s">
        <v>359</v>
      </c>
      <c r="E4" s="14" t="s">
        <v>359</v>
      </c>
      <c r="F4" s="15" t="s">
        <v>5</v>
      </c>
    </row>
    <row r="5" spans="2:6">
      <c r="B5" s="102" t="s">
        <v>362</v>
      </c>
      <c r="C5" s="17">
        <v>1</v>
      </c>
      <c r="D5" s="7"/>
      <c r="E5" s="4" t="s">
        <v>366</v>
      </c>
      <c r="F5" s="6">
        <f>MATCH(E5,B5:B15,0)</f>
        <v>5</v>
      </c>
    </row>
    <row r="6" spans="2:5">
      <c r="B6" s="102" t="s">
        <v>363</v>
      </c>
      <c r="C6" s="17">
        <v>2</v>
      </c>
      <c r="D6" s="7"/>
      <c r="E6" s="9"/>
    </row>
    <row r="7" spans="2:5">
      <c r="B7" s="102" t="s">
        <v>364</v>
      </c>
      <c r="C7" s="17">
        <v>3</v>
      </c>
      <c r="D7" s="7"/>
      <c r="E7" s="9"/>
    </row>
    <row r="8" spans="2:5">
      <c r="B8" s="102" t="s">
        <v>365</v>
      </c>
      <c r="C8" s="17">
        <v>4</v>
      </c>
      <c r="D8" s="7"/>
      <c r="E8" s="9"/>
    </row>
    <row r="9" spans="2:5">
      <c r="B9" s="102" t="s">
        <v>366</v>
      </c>
      <c r="C9" s="17">
        <v>5</v>
      </c>
      <c r="D9" s="7"/>
      <c r="E9" s="9"/>
    </row>
    <row r="10" spans="2:5">
      <c r="B10" s="102" t="s">
        <v>367</v>
      </c>
      <c r="C10" s="17">
        <v>6</v>
      </c>
      <c r="D10" s="7"/>
      <c r="E10" s="9"/>
    </row>
    <row r="11" spans="2:5">
      <c r="B11" s="102" t="s">
        <v>368</v>
      </c>
      <c r="C11" s="17">
        <v>7</v>
      </c>
      <c r="D11" s="7"/>
      <c r="E11" s="9"/>
    </row>
    <row r="12" spans="2:5">
      <c r="B12" s="102" t="s">
        <v>369</v>
      </c>
      <c r="C12" s="17">
        <v>8</v>
      </c>
      <c r="D12" s="7"/>
      <c r="E12" s="9"/>
    </row>
    <row r="13" spans="2:5">
      <c r="B13" s="102" t="s">
        <v>370</v>
      </c>
      <c r="C13" s="17">
        <v>9</v>
      </c>
      <c r="D13" s="7"/>
      <c r="E13" s="9"/>
    </row>
    <row r="14" spans="2:4">
      <c r="B14" s="102" t="s">
        <v>371</v>
      </c>
      <c r="C14" s="17">
        <v>10</v>
      </c>
      <c r="D14" s="7"/>
    </row>
    <row r="15" spans="2:6">
      <c r="B15" s="102" t="s">
        <v>372</v>
      </c>
      <c r="C15" s="17">
        <v>11</v>
      </c>
      <c r="D15" s="7"/>
      <c r="F15" s="18"/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7" sqref="G7"/>
    </sheetView>
  </sheetViews>
  <sheetFormatPr defaultColWidth="9" defaultRowHeight="14.4"/>
  <cols>
    <col min="2" max="2" width="27.8888888888889" customWidth="1"/>
    <col min="3" max="3" width="13.3333333333333" customWidth="1"/>
    <col min="4" max="4" width="16.8888888888889" customWidth="1"/>
    <col min="5" max="5" width="15.6666666666667" customWidth="1"/>
    <col min="7" max="7" width="16.2222222222222" customWidth="1"/>
    <col min="8" max="8" width="18" customWidth="1"/>
  </cols>
  <sheetData>
    <row r="1" spans="10:10">
      <c r="J1" s="10"/>
    </row>
    <row r="2" ht="21" spans="2:2">
      <c r="B2" s="1" t="s">
        <v>379</v>
      </c>
    </row>
    <row r="3" spans="2:5">
      <c r="B3" s="11">
        <v>1</v>
      </c>
      <c r="C3" s="11">
        <v>2</v>
      </c>
      <c r="D3" s="11">
        <v>3</v>
      </c>
      <c r="E3" s="11">
        <v>4</v>
      </c>
    </row>
    <row r="4" ht="15.6" spans="2:5">
      <c r="B4" s="2" t="s">
        <v>380</v>
      </c>
      <c r="C4" s="2" t="s">
        <v>381</v>
      </c>
      <c r="D4" s="2" t="s">
        <v>136</v>
      </c>
      <c r="E4" s="2" t="s">
        <v>382</v>
      </c>
    </row>
    <row r="5" ht="15.6" spans="1:6">
      <c r="A5" s="3">
        <v>1</v>
      </c>
      <c r="B5" s="8" t="s">
        <v>383</v>
      </c>
      <c r="C5" s="5">
        <v>829.8</v>
      </c>
      <c r="D5" s="103" t="s">
        <v>384</v>
      </c>
      <c r="E5" s="12">
        <f>RANK(C5,$C$5:$C$15)</f>
        <v>1</v>
      </c>
      <c r="F5" s="7"/>
    </row>
    <row r="6" ht="15.6" spans="1:7">
      <c r="A6" s="3">
        <v>2</v>
      </c>
      <c r="B6" s="103" t="s">
        <v>385</v>
      </c>
      <c r="C6" s="5">
        <v>678.9</v>
      </c>
      <c r="D6" s="103" t="s">
        <v>386</v>
      </c>
      <c r="E6" s="12">
        <f t="shared" ref="E6:E15" si="0">RANK(C6,$C$5:$C$15)</f>
        <v>2</v>
      </c>
      <c r="F6" s="7"/>
      <c r="G6" s="13">
        <f>INDEX(B5:E15,4,2)</f>
        <v>632</v>
      </c>
    </row>
    <row r="7" ht="15.6" spans="1:6">
      <c r="A7" s="3">
        <v>3</v>
      </c>
      <c r="B7" s="4" t="s">
        <v>387</v>
      </c>
      <c r="C7" s="5">
        <v>634</v>
      </c>
      <c r="D7" s="103" t="s">
        <v>388</v>
      </c>
      <c r="E7" s="12">
        <f t="shared" si="0"/>
        <v>3</v>
      </c>
      <c r="F7" s="7"/>
    </row>
    <row r="8" ht="15.6" spans="1:7">
      <c r="A8" s="3">
        <v>4</v>
      </c>
      <c r="B8" s="4" t="s">
        <v>389</v>
      </c>
      <c r="C8" s="5">
        <v>632</v>
      </c>
      <c r="D8" s="103" t="s">
        <v>390</v>
      </c>
      <c r="E8" s="12">
        <f t="shared" si="0"/>
        <v>4</v>
      </c>
      <c r="F8" s="7"/>
      <c r="G8" s="9"/>
    </row>
    <row r="9" ht="15.6" spans="1:7">
      <c r="A9" s="3">
        <v>5</v>
      </c>
      <c r="B9" s="4" t="s">
        <v>391</v>
      </c>
      <c r="C9" s="5">
        <v>627.8</v>
      </c>
      <c r="D9" s="103" t="s">
        <v>392</v>
      </c>
      <c r="E9" s="12">
        <f t="shared" si="0"/>
        <v>5</v>
      </c>
      <c r="F9" s="7"/>
      <c r="G9" s="9"/>
    </row>
    <row r="10" ht="15.6" spans="1:7">
      <c r="A10" s="3">
        <v>6</v>
      </c>
      <c r="B10" s="4" t="s">
        <v>393</v>
      </c>
      <c r="C10" s="5">
        <v>604</v>
      </c>
      <c r="D10" s="103" t="s">
        <v>394</v>
      </c>
      <c r="E10" s="12">
        <f t="shared" si="0"/>
        <v>6</v>
      </c>
      <c r="F10" s="7"/>
      <c r="G10" s="9"/>
    </row>
    <row r="11" ht="15.6" spans="1:7">
      <c r="A11" s="3">
        <v>7</v>
      </c>
      <c r="B11" s="4" t="s">
        <v>395</v>
      </c>
      <c r="C11" s="5">
        <v>601</v>
      </c>
      <c r="D11" s="103" t="s">
        <v>396</v>
      </c>
      <c r="E11" s="12">
        <f t="shared" si="0"/>
        <v>7</v>
      </c>
      <c r="F11" s="7"/>
      <c r="G11" s="9"/>
    </row>
    <row r="12" ht="15.6" spans="1:6">
      <c r="A12" s="3">
        <v>8</v>
      </c>
      <c r="B12" s="4" t="s">
        <v>397</v>
      </c>
      <c r="C12" s="5">
        <v>596.6</v>
      </c>
      <c r="D12" s="103" t="s">
        <v>398</v>
      </c>
      <c r="E12" s="12">
        <f t="shared" si="0"/>
        <v>8</v>
      </c>
      <c r="F12" s="7"/>
    </row>
    <row r="13" ht="15.6" spans="1:6">
      <c r="A13" s="3">
        <v>9</v>
      </c>
      <c r="B13" s="4" t="s">
        <v>399</v>
      </c>
      <c r="C13" s="5">
        <v>555.7</v>
      </c>
      <c r="D13" s="103" t="s">
        <v>400</v>
      </c>
      <c r="E13" s="12">
        <f t="shared" si="0"/>
        <v>9</v>
      </c>
      <c r="F13" s="7"/>
    </row>
    <row r="14" ht="15.6" spans="1:5">
      <c r="A14" s="3">
        <v>10</v>
      </c>
      <c r="B14" s="4" t="s">
        <v>401</v>
      </c>
      <c r="C14" s="5">
        <v>553.3</v>
      </c>
      <c r="D14" s="103" t="s">
        <v>402</v>
      </c>
      <c r="E14" s="12">
        <f t="shared" si="0"/>
        <v>10</v>
      </c>
    </row>
    <row r="15" ht="15.6" spans="1:5">
      <c r="A15" s="3">
        <v>11</v>
      </c>
      <c r="B15" s="4" t="s">
        <v>403</v>
      </c>
      <c r="C15" s="5">
        <v>540</v>
      </c>
      <c r="D15" s="103" t="s">
        <v>139</v>
      </c>
      <c r="E15" s="12">
        <f t="shared" si="0"/>
        <v>11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E5" sqref="E5:E15"/>
    </sheetView>
  </sheetViews>
  <sheetFormatPr defaultColWidth="9" defaultRowHeight="14.4"/>
  <cols>
    <col min="2" max="2" width="27.8888888888889" customWidth="1"/>
    <col min="3" max="3" width="13.3333333333333" customWidth="1"/>
    <col min="4" max="4" width="16.8888888888889" customWidth="1"/>
    <col min="5" max="5" width="15.6666666666667" customWidth="1"/>
    <col min="7" max="7" width="16.2222222222222" customWidth="1"/>
    <col min="8" max="8" width="18" customWidth="1"/>
  </cols>
  <sheetData>
    <row r="1" spans="10:10">
      <c r="J1" s="10"/>
    </row>
    <row r="2" ht="21" spans="2:2">
      <c r="B2" s="1" t="s">
        <v>404</v>
      </c>
    </row>
    <row r="4" ht="15.6" spans="2:5">
      <c r="B4" s="2" t="s">
        <v>380</v>
      </c>
      <c r="C4" s="2" t="s">
        <v>381</v>
      </c>
      <c r="D4" s="2" t="s">
        <v>136</v>
      </c>
      <c r="E4" s="2" t="s">
        <v>382</v>
      </c>
    </row>
    <row r="5" ht="15.6" spans="1:6">
      <c r="A5" s="3"/>
      <c r="B5" s="4" t="s">
        <v>397</v>
      </c>
      <c r="C5" s="5">
        <v>596.6</v>
      </c>
      <c r="D5" s="103" t="s">
        <v>398</v>
      </c>
      <c r="E5" s="6">
        <f>RANK(C5,$C$5:$C$15,0)</f>
        <v>8</v>
      </c>
      <c r="F5" s="7"/>
    </row>
    <row r="6" ht="15.6" spans="1:6">
      <c r="A6" s="3"/>
      <c r="B6" s="103" t="s">
        <v>385</v>
      </c>
      <c r="C6" s="5">
        <v>678.9</v>
      </c>
      <c r="D6" s="103" t="s">
        <v>386</v>
      </c>
      <c r="E6" s="6">
        <f t="shared" ref="E6:E15" si="0">RANK(C6,$C$5:$C$15,0)</f>
        <v>2</v>
      </c>
      <c r="F6" s="7"/>
    </row>
    <row r="7" ht="15.6" spans="1:6">
      <c r="A7" s="3"/>
      <c r="B7" s="4" t="s">
        <v>387</v>
      </c>
      <c r="C7" s="5">
        <v>634</v>
      </c>
      <c r="D7" s="103" t="s">
        <v>388</v>
      </c>
      <c r="E7" s="6">
        <f t="shared" si="0"/>
        <v>3</v>
      </c>
      <c r="F7" s="7"/>
    </row>
    <row r="8" ht="15.6" spans="1:6">
      <c r="A8" s="3"/>
      <c r="B8" s="4" t="s">
        <v>399</v>
      </c>
      <c r="C8" s="5">
        <v>555.7</v>
      </c>
      <c r="D8" s="103" t="s">
        <v>400</v>
      </c>
      <c r="E8" s="6">
        <f t="shared" si="0"/>
        <v>9</v>
      </c>
      <c r="F8" s="7"/>
    </row>
    <row r="9" ht="15.6" spans="1:7">
      <c r="A9" s="3"/>
      <c r="B9" s="8" t="s">
        <v>383</v>
      </c>
      <c r="C9" s="5">
        <v>829.8</v>
      </c>
      <c r="D9" s="103" t="s">
        <v>384</v>
      </c>
      <c r="E9" s="6">
        <f t="shared" si="0"/>
        <v>1</v>
      </c>
      <c r="F9" s="7"/>
      <c r="G9" s="9"/>
    </row>
    <row r="10" ht="15.6" spans="1:7">
      <c r="A10" s="3"/>
      <c r="B10" s="4" t="s">
        <v>395</v>
      </c>
      <c r="C10" s="5">
        <v>601</v>
      </c>
      <c r="D10" s="103" t="s">
        <v>396</v>
      </c>
      <c r="E10" s="6">
        <f t="shared" si="0"/>
        <v>7</v>
      </c>
      <c r="F10" s="7"/>
      <c r="G10" s="9"/>
    </row>
    <row r="11" ht="15.6" spans="1:7">
      <c r="A11" s="3"/>
      <c r="B11" s="4" t="s">
        <v>403</v>
      </c>
      <c r="C11" s="5">
        <v>540</v>
      </c>
      <c r="D11" s="103" t="s">
        <v>139</v>
      </c>
      <c r="E11" s="6">
        <f t="shared" si="0"/>
        <v>11</v>
      </c>
      <c r="F11" s="7"/>
      <c r="G11" s="9"/>
    </row>
    <row r="12" ht="15.6" spans="1:6">
      <c r="A12" s="3"/>
      <c r="B12" s="4" t="s">
        <v>401</v>
      </c>
      <c r="C12" s="5">
        <v>553.3</v>
      </c>
      <c r="D12" s="103" t="s">
        <v>402</v>
      </c>
      <c r="E12" s="6">
        <f t="shared" si="0"/>
        <v>10</v>
      </c>
      <c r="F12" s="7"/>
    </row>
    <row r="13" ht="15.6" spans="1:6">
      <c r="A13" s="3"/>
      <c r="B13" s="4" t="s">
        <v>393</v>
      </c>
      <c r="C13" s="5">
        <v>604</v>
      </c>
      <c r="D13" s="103" t="s">
        <v>394</v>
      </c>
      <c r="E13" s="6">
        <f t="shared" si="0"/>
        <v>6</v>
      </c>
      <c r="F13" s="7"/>
    </row>
    <row r="14" ht="15.6" spans="1:5">
      <c r="A14" s="3"/>
      <c r="B14" s="4" t="s">
        <v>391</v>
      </c>
      <c r="C14" s="5">
        <v>627.8</v>
      </c>
      <c r="D14" s="103" t="s">
        <v>392</v>
      </c>
      <c r="E14" s="6">
        <f t="shared" si="0"/>
        <v>5</v>
      </c>
    </row>
    <row r="15" ht="15.6" spans="1:5">
      <c r="A15" s="3"/>
      <c r="B15" s="4" t="s">
        <v>389</v>
      </c>
      <c r="C15" s="5">
        <v>632</v>
      </c>
      <c r="D15" s="103" t="s">
        <v>390</v>
      </c>
      <c r="E15" s="6">
        <f t="shared" si="0"/>
        <v>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merzl</cp:lastModifiedBy>
  <dcterms:created xsi:type="dcterms:W3CDTF">2006-09-16T00:00:00Z</dcterms:created>
  <dcterms:modified xsi:type="dcterms:W3CDTF">2026-09-10T21:16:51Z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DDA4E34653744B6498226D4CE229E0E9_12</vt:lpwstr>
  </property>
  <property fmtid="{D5CDD505-2E9C-101B-9397-08002B2CF9AE}" pid="3" name="KSOProductBuildVer">
    <vt:lpwstr>1049-12.2.0.23206</vt:lpwstr>
  </property>
</Properties>
</file>